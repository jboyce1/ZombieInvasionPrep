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mypps-my.sharepoint.com/personal/jboyce1_pghschools_org/Documents/Courses/Zombie Invasion/3 Plagues of Yore/"/>
    </mc:Choice>
  </mc:AlternateContent>
  <xr:revisionPtr revIDLastSave="435" documentId="13_ncr:1_{58905B8B-B677-4667-ABFC-371D33BC36F4}" xr6:coauthVersionLast="47" xr6:coauthVersionMax="47" xr10:uidLastSave="{676C1B29-18DC-473D-B254-9C5B5C3078E1}"/>
  <bookViews>
    <workbookView minimized="1" xWindow="44490" yWindow="1560" windowWidth="5025" windowHeight="13995" firstSheet="1" activeTab="1" xr2:uid="{00000000-000D-0000-FFFF-FFFF00000000}"/>
  </bookViews>
  <sheets>
    <sheet name="Readme" sheetId="9" r:id="rId1"/>
    <sheet name="Calcul" sheetId="8" r:id="rId2"/>
    <sheet name="Scenario 1" sheetId="5" r:id="rId3"/>
    <sheet name="Scenario 2" sheetId="4" r:id="rId4"/>
    <sheet name="Scenerio 3" sheetId="2" r:id="rId5"/>
    <sheet name="Scenerio 4" sheetId="6" r:id="rId6"/>
    <sheet name="Scenerio 5" sheetId="7" r:id="rId7"/>
    <sheet name="Cities" sheetId="3" r:id="rId8"/>
    <sheet name="Formula Workbook" sheetId="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8" l="1"/>
  <c r="J6" i="8"/>
  <c r="J5" i="8"/>
  <c r="J4" i="8"/>
  <c r="J3" i="8"/>
  <c r="I3" i="8"/>
  <c r="K3" i="8" l="1"/>
  <c r="L3" i="8"/>
  <c r="M3" i="8"/>
  <c r="K4" i="8"/>
  <c r="L4" i="8"/>
  <c r="M4" i="8"/>
  <c r="K5" i="8"/>
  <c r="L5" i="8"/>
  <c r="M5" i="8"/>
  <c r="K6" i="8"/>
  <c r="L6" i="8"/>
  <c r="M6" i="8"/>
  <c r="K7" i="8"/>
  <c r="L7" i="8"/>
  <c r="M7" i="8"/>
  <c r="I4" i="8"/>
  <c r="I5" i="8"/>
  <c r="I6" i="8"/>
  <c r="I7" i="8"/>
  <c r="C3" i="8" l="1"/>
  <c r="C6" i="8"/>
  <c r="C4" i="8"/>
  <c r="C5" i="8"/>
  <c r="C7" i="8"/>
  <c r="CG27" i="1" l="1"/>
  <c r="CG26" i="1"/>
  <c r="CG25" i="1"/>
  <c r="CG24" i="1"/>
  <c r="CG23" i="1"/>
  <c r="CG22" i="1"/>
  <c r="CG21" i="1"/>
  <c r="CG20" i="1"/>
  <c r="CG19" i="1"/>
  <c r="CG18" i="1"/>
  <c r="CG17" i="1"/>
  <c r="CG16" i="1"/>
  <c r="CG15" i="1"/>
  <c r="CG14" i="1"/>
  <c r="CG13" i="1"/>
  <c r="CG12" i="1"/>
  <c r="CG11" i="1"/>
  <c r="CG10" i="1"/>
  <c r="CG9" i="1"/>
  <c r="CG8" i="1"/>
  <c r="CG7" i="1"/>
  <c r="CG6" i="1"/>
  <c r="CG5" i="1"/>
  <c r="CG4" i="1"/>
  <c r="CG3" i="1"/>
  <c r="CG2" i="1"/>
  <c r="M28" i="7"/>
  <c r="L28" i="7"/>
  <c r="K28" i="7"/>
  <c r="J28" i="7"/>
  <c r="I28" i="7"/>
  <c r="H28" i="7"/>
  <c r="G28" i="7"/>
  <c r="F28" i="7"/>
  <c r="E28" i="7"/>
  <c r="D28" i="7"/>
  <c r="M27" i="7"/>
  <c r="L27" i="7"/>
  <c r="K27" i="7"/>
  <c r="J27" i="7"/>
  <c r="I27" i="7"/>
  <c r="H27" i="7"/>
  <c r="G27" i="7"/>
  <c r="F27" i="7"/>
  <c r="E27" i="7"/>
  <c r="D27" i="7"/>
  <c r="M26" i="7"/>
  <c r="L26" i="7"/>
  <c r="K26" i="7"/>
  <c r="J26" i="7"/>
  <c r="I26" i="7"/>
  <c r="H26" i="7"/>
  <c r="G26" i="7"/>
  <c r="F26" i="7"/>
  <c r="E26" i="7"/>
  <c r="D26" i="7"/>
  <c r="M25" i="7"/>
  <c r="L25" i="7"/>
  <c r="K25" i="7"/>
  <c r="J25" i="7"/>
  <c r="I25" i="7"/>
  <c r="H25" i="7"/>
  <c r="G25" i="7"/>
  <c r="F25" i="7"/>
  <c r="E25" i="7"/>
  <c r="D25" i="7"/>
  <c r="M24" i="7"/>
  <c r="L24" i="7"/>
  <c r="K24" i="7"/>
  <c r="J24" i="7"/>
  <c r="I24" i="7"/>
  <c r="H24" i="7"/>
  <c r="G24" i="7"/>
  <c r="F24" i="7"/>
  <c r="E24" i="7"/>
  <c r="D24" i="7"/>
  <c r="M23" i="7"/>
  <c r="L23" i="7"/>
  <c r="K23" i="7"/>
  <c r="J23" i="7"/>
  <c r="I23" i="7"/>
  <c r="H23" i="7"/>
  <c r="G23" i="7"/>
  <c r="F23" i="7"/>
  <c r="E23" i="7"/>
  <c r="D23" i="7"/>
  <c r="M22" i="7"/>
  <c r="L22" i="7"/>
  <c r="K22" i="7"/>
  <c r="J22" i="7"/>
  <c r="I22" i="7"/>
  <c r="H22" i="7"/>
  <c r="G22" i="7"/>
  <c r="F22" i="7"/>
  <c r="E22" i="7"/>
  <c r="D22" i="7"/>
  <c r="M21" i="7"/>
  <c r="L21" i="7"/>
  <c r="K21" i="7"/>
  <c r="J21" i="7"/>
  <c r="I21" i="7"/>
  <c r="H21" i="7"/>
  <c r="G21" i="7"/>
  <c r="F21" i="7"/>
  <c r="E21" i="7"/>
  <c r="D21" i="7"/>
  <c r="C21" i="7" s="1"/>
  <c r="M20" i="7"/>
  <c r="L20" i="7"/>
  <c r="K20" i="7"/>
  <c r="J20" i="7"/>
  <c r="I20" i="7"/>
  <c r="H20" i="7"/>
  <c r="G20" i="7"/>
  <c r="F20" i="7"/>
  <c r="E20" i="7"/>
  <c r="D20" i="7"/>
  <c r="M19" i="7"/>
  <c r="L19" i="7"/>
  <c r="K19" i="7"/>
  <c r="J19" i="7"/>
  <c r="I19" i="7"/>
  <c r="H19" i="7"/>
  <c r="G19" i="7"/>
  <c r="F19" i="7"/>
  <c r="E19" i="7"/>
  <c r="D19" i="7"/>
  <c r="M18" i="7"/>
  <c r="L18" i="7"/>
  <c r="K18" i="7"/>
  <c r="J18" i="7"/>
  <c r="I18" i="7"/>
  <c r="H18" i="7"/>
  <c r="G18" i="7"/>
  <c r="F18" i="7"/>
  <c r="E18" i="7"/>
  <c r="D18" i="7"/>
  <c r="M17" i="7"/>
  <c r="L17" i="7"/>
  <c r="K17" i="7"/>
  <c r="J17" i="7"/>
  <c r="I17" i="7"/>
  <c r="H17" i="7"/>
  <c r="G17" i="7"/>
  <c r="F17" i="7"/>
  <c r="E17" i="7"/>
  <c r="D17" i="7"/>
  <c r="M16" i="7"/>
  <c r="L16" i="7"/>
  <c r="K16" i="7"/>
  <c r="J16" i="7"/>
  <c r="I16" i="7"/>
  <c r="H16" i="7"/>
  <c r="G16" i="7"/>
  <c r="F16" i="7"/>
  <c r="E16" i="7"/>
  <c r="D16" i="7"/>
  <c r="M15" i="7"/>
  <c r="L15" i="7"/>
  <c r="K15" i="7"/>
  <c r="J15" i="7"/>
  <c r="I15" i="7"/>
  <c r="H15" i="7"/>
  <c r="G15" i="7"/>
  <c r="F15" i="7"/>
  <c r="E15" i="7"/>
  <c r="D15" i="7"/>
  <c r="M14" i="7"/>
  <c r="L14" i="7"/>
  <c r="K14" i="7"/>
  <c r="J14" i="7"/>
  <c r="I14" i="7"/>
  <c r="H14" i="7"/>
  <c r="G14" i="7"/>
  <c r="F14" i="7"/>
  <c r="E14" i="7"/>
  <c r="D14" i="7"/>
  <c r="M13" i="7"/>
  <c r="L13" i="7"/>
  <c r="K13" i="7"/>
  <c r="J13" i="7"/>
  <c r="I13" i="7"/>
  <c r="H13" i="7"/>
  <c r="G13" i="7"/>
  <c r="F13" i="7"/>
  <c r="E13" i="7"/>
  <c r="D13" i="7"/>
  <c r="M12" i="7"/>
  <c r="L12" i="7"/>
  <c r="K12" i="7"/>
  <c r="J12" i="7"/>
  <c r="I12" i="7"/>
  <c r="H12" i="7"/>
  <c r="G12" i="7"/>
  <c r="F12" i="7"/>
  <c r="E12" i="7"/>
  <c r="D12" i="7"/>
  <c r="M11" i="7"/>
  <c r="L11" i="7"/>
  <c r="K11" i="7"/>
  <c r="J11" i="7"/>
  <c r="I11" i="7"/>
  <c r="H11" i="7"/>
  <c r="G11" i="7"/>
  <c r="F11" i="7"/>
  <c r="E11" i="7"/>
  <c r="D11" i="7"/>
  <c r="M10" i="7"/>
  <c r="L10" i="7"/>
  <c r="K10" i="7"/>
  <c r="J10" i="7"/>
  <c r="I10" i="7"/>
  <c r="H10" i="7"/>
  <c r="G10" i="7"/>
  <c r="F10" i="7"/>
  <c r="E10" i="7"/>
  <c r="D10" i="7"/>
  <c r="M9" i="7"/>
  <c r="L9" i="7"/>
  <c r="K9" i="7"/>
  <c r="J9" i="7"/>
  <c r="I9" i="7"/>
  <c r="H9" i="7"/>
  <c r="G9" i="7"/>
  <c r="F9" i="7"/>
  <c r="E9" i="7"/>
  <c r="D9" i="7"/>
  <c r="M8" i="7"/>
  <c r="L8" i="7"/>
  <c r="K8" i="7"/>
  <c r="J8" i="7"/>
  <c r="I8" i="7"/>
  <c r="H8" i="7"/>
  <c r="G8" i="7"/>
  <c r="F8" i="7"/>
  <c r="E8" i="7"/>
  <c r="D8" i="7"/>
  <c r="M7" i="7"/>
  <c r="L7" i="7"/>
  <c r="K7" i="7"/>
  <c r="J7" i="7"/>
  <c r="I7" i="7"/>
  <c r="H7" i="7"/>
  <c r="G7" i="7"/>
  <c r="F7" i="7"/>
  <c r="E7" i="7"/>
  <c r="D7" i="7"/>
  <c r="M6" i="7"/>
  <c r="L6" i="7"/>
  <c r="K6" i="7"/>
  <c r="J6" i="7"/>
  <c r="I6" i="7"/>
  <c r="H6" i="7"/>
  <c r="G6" i="7"/>
  <c r="F6" i="7"/>
  <c r="E6" i="7"/>
  <c r="D6" i="7"/>
  <c r="M5" i="7"/>
  <c r="L5" i="7"/>
  <c r="K5" i="7"/>
  <c r="J5" i="7"/>
  <c r="I5" i="7"/>
  <c r="H5" i="7"/>
  <c r="G5" i="7"/>
  <c r="F5" i="7"/>
  <c r="E5" i="7"/>
  <c r="D5" i="7"/>
  <c r="M4" i="7"/>
  <c r="L4" i="7"/>
  <c r="K4" i="7"/>
  <c r="J4" i="7"/>
  <c r="I4" i="7"/>
  <c r="H4" i="7"/>
  <c r="G4" i="7"/>
  <c r="F4" i="7"/>
  <c r="E4" i="7"/>
  <c r="D4" i="7"/>
  <c r="M3" i="7"/>
  <c r="L3" i="7"/>
  <c r="K3" i="7"/>
  <c r="J3" i="7"/>
  <c r="I3" i="7"/>
  <c r="H3" i="7"/>
  <c r="G3" i="7"/>
  <c r="F3" i="7"/>
  <c r="E3" i="7"/>
  <c r="D3" i="7"/>
  <c r="M28" i="6"/>
  <c r="L28" i="6"/>
  <c r="K28" i="6"/>
  <c r="J28" i="6"/>
  <c r="I28" i="6"/>
  <c r="H28" i="6"/>
  <c r="G28" i="6"/>
  <c r="F28" i="6"/>
  <c r="E28" i="6"/>
  <c r="D28" i="6"/>
  <c r="M27" i="6"/>
  <c r="L27" i="6"/>
  <c r="K27" i="6"/>
  <c r="J27" i="6"/>
  <c r="I27" i="6"/>
  <c r="H27" i="6"/>
  <c r="G27" i="6"/>
  <c r="F27" i="6"/>
  <c r="E27" i="6"/>
  <c r="D27" i="6"/>
  <c r="M26" i="6"/>
  <c r="L26" i="6"/>
  <c r="K26" i="6"/>
  <c r="J26" i="6"/>
  <c r="I26" i="6"/>
  <c r="H26" i="6"/>
  <c r="G26" i="6"/>
  <c r="F26" i="6"/>
  <c r="E26" i="6"/>
  <c r="D26" i="6"/>
  <c r="M25" i="6"/>
  <c r="L25" i="6"/>
  <c r="K25" i="6"/>
  <c r="J25" i="6"/>
  <c r="I25" i="6"/>
  <c r="H25" i="6"/>
  <c r="G25" i="6"/>
  <c r="F25" i="6"/>
  <c r="E25" i="6"/>
  <c r="D25" i="6"/>
  <c r="M24" i="6"/>
  <c r="L24" i="6"/>
  <c r="K24" i="6"/>
  <c r="J24" i="6"/>
  <c r="I24" i="6"/>
  <c r="H24" i="6"/>
  <c r="G24" i="6"/>
  <c r="F24" i="6"/>
  <c r="E24" i="6"/>
  <c r="D24" i="6"/>
  <c r="M23" i="6"/>
  <c r="L23" i="6"/>
  <c r="K23" i="6"/>
  <c r="J23" i="6"/>
  <c r="I23" i="6"/>
  <c r="H23" i="6"/>
  <c r="G23" i="6"/>
  <c r="F23" i="6"/>
  <c r="E23" i="6"/>
  <c r="D23" i="6"/>
  <c r="M22" i="6"/>
  <c r="L22" i="6"/>
  <c r="K22" i="6"/>
  <c r="J22" i="6"/>
  <c r="I22" i="6"/>
  <c r="H22" i="6"/>
  <c r="G22" i="6"/>
  <c r="F22" i="6"/>
  <c r="E22" i="6"/>
  <c r="D22" i="6"/>
  <c r="M21" i="6"/>
  <c r="L21" i="6"/>
  <c r="K21" i="6"/>
  <c r="J21" i="6"/>
  <c r="I21" i="6"/>
  <c r="H21" i="6"/>
  <c r="G21" i="6"/>
  <c r="F21" i="6"/>
  <c r="E21" i="6"/>
  <c r="D21" i="6"/>
  <c r="M20" i="6"/>
  <c r="L20" i="6"/>
  <c r="K20" i="6"/>
  <c r="J20" i="6"/>
  <c r="I20" i="6"/>
  <c r="H20" i="6"/>
  <c r="G20" i="6"/>
  <c r="F20" i="6"/>
  <c r="E20" i="6"/>
  <c r="D20" i="6"/>
  <c r="M19" i="6"/>
  <c r="L19" i="6"/>
  <c r="K19" i="6"/>
  <c r="J19" i="6"/>
  <c r="I19" i="6"/>
  <c r="H19" i="6"/>
  <c r="G19" i="6"/>
  <c r="F19" i="6"/>
  <c r="E19" i="6"/>
  <c r="D19" i="6"/>
  <c r="M18" i="6"/>
  <c r="L18" i="6"/>
  <c r="K18" i="6"/>
  <c r="J18" i="6"/>
  <c r="I18" i="6"/>
  <c r="H18" i="6"/>
  <c r="G18" i="6"/>
  <c r="F18" i="6"/>
  <c r="E18" i="6"/>
  <c r="D18" i="6"/>
  <c r="M17" i="6"/>
  <c r="L17" i="6"/>
  <c r="K17" i="6"/>
  <c r="J17" i="6"/>
  <c r="I17" i="6"/>
  <c r="H17" i="6"/>
  <c r="G17" i="6"/>
  <c r="F17" i="6"/>
  <c r="E17" i="6"/>
  <c r="D17" i="6"/>
  <c r="M16" i="6"/>
  <c r="L16" i="6"/>
  <c r="K16" i="6"/>
  <c r="J16" i="6"/>
  <c r="I16" i="6"/>
  <c r="H16" i="6"/>
  <c r="G16" i="6"/>
  <c r="F16" i="6"/>
  <c r="E16" i="6"/>
  <c r="D16" i="6"/>
  <c r="M15" i="6"/>
  <c r="L15" i="6"/>
  <c r="K15" i="6"/>
  <c r="J15" i="6"/>
  <c r="I15" i="6"/>
  <c r="H15" i="6"/>
  <c r="G15" i="6"/>
  <c r="F15" i="6"/>
  <c r="E15" i="6"/>
  <c r="D15" i="6"/>
  <c r="M14" i="6"/>
  <c r="L14" i="6"/>
  <c r="K14" i="6"/>
  <c r="J14" i="6"/>
  <c r="I14" i="6"/>
  <c r="H14" i="6"/>
  <c r="G14" i="6"/>
  <c r="F14" i="6"/>
  <c r="E14" i="6"/>
  <c r="D14" i="6"/>
  <c r="M13" i="6"/>
  <c r="L13" i="6"/>
  <c r="K13" i="6"/>
  <c r="J13" i="6"/>
  <c r="I13" i="6"/>
  <c r="H13" i="6"/>
  <c r="G13" i="6"/>
  <c r="F13" i="6"/>
  <c r="E13" i="6"/>
  <c r="D13" i="6"/>
  <c r="M12" i="6"/>
  <c r="L12" i="6"/>
  <c r="K12" i="6"/>
  <c r="J12" i="6"/>
  <c r="I12" i="6"/>
  <c r="H12" i="6"/>
  <c r="G12" i="6"/>
  <c r="F12" i="6"/>
  <c r="E12" i="6"/>
  <c r="D12" i="6"/>
  <c r="M11" i="6"/>
  <c r="L11" i="6"/>
  <c r="K11" i="6"/>
  <c r="J11" i="6"/>
  <c r="I11" i="6"/>
  <c r="H11" i="6"/>
  <c r="G11" i="6"/>
  <c r="F11" i="6"/>
  <c r="E11" i="6"/>
  <c r="D11" i="6"/>
  <c r="M10" i="6"/>
  <c r="L10" i="6"/>
  <c r="K10" i="6"/>
  <c r="J10" i="6"/>
  <c r="I10" i="6"/>
  <c r="H10" i="6"/>
  <c r="G10" i="6"/>
  <c r="F10" i="6"/>
  <c r="E10" i="6"/>
  <c r="D10" i="6"/>
  <c r="M9" i="6"/>
  <c r="L9" i="6"/>
  <c r="K9" i="6"/>
  <c r="J9" i="6"/>
  <c r="I9" i="6"/>
  <c r="H9" i="6"/>
  <c r="G9" i="6"/>
  <c r="F9" i="6"/>
  <c r="E9" i="6"/>
  <c r="D9" i="6"/>
  <c r="M8" i="6"/>
  <c r="L8" i="6"/>
  <c r="K8" i="6"/>
  <c r="J8" i="6"/>
  <c r="I8" i="6"/>
  <c r="H8" i="6"/>
  <c r="G8" i="6"/>
  <c r="F8" i="6"/>
  <c r="E8" i="6"/>
  <c r="D8" i="6"/>
  <c r="M7" i="6"/>
  <c r="L7" i="6"/>
  <c r="K7" i="6"/>
  <c r="J7" i="6"/>
  <c r="I7" i="6"/>
  <c r="H7" i="6"/>
  <c r="G7" i="6"/>
  <c r="F7" i="6"/>
  <c r="E7" i="6"/>
  <c r="D7" i="6"/>
  <c r="M6" i="6"/>
  <c r="L6" i="6"/>
  <c r="K6" i="6"/>
  <c r="J6" i="6"/>
  <c r="I6" i="6"/>
  <c r="H6" i="6"/>
  <c r="G6" i="6"/>
  <c r="F6" i="6"/>
  <c r="E6" i="6"/>
  <c r="D6" i="6"/>
  <c r="M5" i="6"/>
  <c r="L5" i="6"/>
  <c r="K5" i="6"/>
  <c r="J5" i="6"/>
  <c r="I5" i="6"/>
  <c r="H5" i="6"/>
  <c r="G5" i="6"/>
  <c r="F5" i="6"/>
  <c r="E5" i="6"/>
  <c r="D5" i="6"/>
  <c r="M4" i="6"/>
  <c r="L4" i="6"/>
  <c r="K4" i="6"/>
  <c r="J4" i="6"/>
  <c r="I4" i="6"/>
  <c r="H4" i="6"/>
  <c r="G4" i="6"/>
  <c r="F4" i="6"/>
  <c r="E4" i="6"/>
  <c r="D4" i="6"/>
  <c r="M3" i="6"/>
  <c r="L3" i="6"/>
  <c r="K3" i="6"/>
  <c r="J3" i="6"/>
  <c r="I3" i="6"/>
  <c r="H3" i="6"/>
  <c r="G3" i="6"/>
  <c r="F3" i="6"/>
  <c r="E3" i="6"/>
  <c r="D3" i="6"/>
  <c r="M28" i="2"/>
  <c r="L28" i="2"/>
  <c r="J28" i="2"/>
  <c r="I28" i="2"/>
  <c r="H28" i="2"/>
  <c r="G28" i="2"/>
  <c r="F28" i="2"/>
  <c r="E28" i="2"/>
  <c r="D28" i="2"/>
  <c r="M27" i="2"/>
  <c r="L27" i="2"/>
  <c r="K27" i="2"/>
  <c r="J27" i="2"/>
  <c r="I27" i="2"/>
  <c r="H27" i="2"/>
  <c r="G27" i="2"/>
  <c r="F27" i="2"/>
  <c r="E27" i="2"/>
  <c r="D27" i="2"/>
  <c r="M26" i="2"/>
  <c r="L26" i="2"/>
  <c r="K26" i="2"/>
  <c r="J26" i="2"/>
  <c r="H26" i="2"/>
  <c r="G26" i="2"/>
  <c r="F26" i="2"/>
  <c r="E26" i="2"/>
  <c r="D26" i="2"/>
  <c r="L25" i="2"/>
  <c r="K25" i="2"/>
  <c r="J25" i="2"/>
  <c r="I25" i="2"/>
  <c r="H25" i="2"/>
  <c r="G25" i="2"/>
  <c r="F25" i="2"/>
  <c r="D25" i="2"/>
  <c r="M24" i="2"/>
  <c r="L24" i="2"/>
  <c r="K24" i="2"/>
  <c r="J24" i="2"/>
  <c r="I24" i="2"/>
  <c r="H24" i="2"/>
  <c r="G24" i="2"/>
  <c r="F24" i="2"/>
  <c r="E24" i="2"/>
  <c r="D24" i="2"/>
  <c r="M23" i="2"/>
  <c r="L23" i="2"/>
  <c r="K23" i="2"/>
  <c r="J23" i="2"/>
  <c r="I23" i="2"/>
  <c r="H23" i="2"/>
  <c r="G23" i="2"/>
  <c r="F23" i="2"/>
  <c r="E23" i="2"/>
  <c r="D23" i="2"/>
  <c r="M22" i="2"/>
  <c r="L22" i="2"/>
  <c r="J22" i="2"/>
  <c r="I22" i="2"/>
  <c r="H22" i="2"/>
  <c r="G22" i="2"/>
  <c r="F22" i="2"/>
  <c r="E22" i="2"/>
  <c r="D22" i="2"/>
  <c r="M21" i="2"/>
  <c r="L21" i="2"/>
  <c r="K21" i="2"/>
  <c r="J21" i="2"/>
  <c r="I21" i="2"/>
  <c r="H21" i="2"/>
  <c r="G21" i="2"/>
  <c r="F21" i="2"/>
  <c r="E21" i="2"/>
  <c r="D21" i="2"/>
  <c r="M20" i="2"/>
  <c r="L20" i="2"/>
  <c r="K20" i="2"/>
  <c r="J20" i="2"/>
  <c r="I20" i="2"/>
  <c r="H20" i="2"/>
  <c r="G20" i="2"/>
  <c r="F20" i="2"/>
  <c r="E20" i="2"/>
  <c r="D20" i="2"/>
  <c r="M19" i="2"/>
  <c r="L19" i="2"/>
  <c r="K19" i="2"/>
  <c r="J19" i="2"/>
  <c r="I19" i="2"/>
  <c r="H19" i="2"/>
  <c r="G19" i="2"/>
  <c r="F19" i="2"/>
  <c r="E19" i="2"/>
  <c r="D19" i="2"/>
  <c r="M18" i="2"/>
  <c r="L18" i="2"/>
  <c r="K18" i="2"/>
  <c r="J18" i="2"/>
  <c r="I18" i="2"/>
  <c r="G18" i="2"/>
  <c r="F18" i="2"/>
  <c r="E18" i="2"/>
  <c r="D18" i="2"/>
  <c r="M17" i="2"/>
  <c r="L17" i="2"/>
  <c r="K17" i="2"/>
  <c r="J17" i="2"/>
  <c r="I17" i="2"/>
  <c r="H17" i="2"/>
  <c r="G17" i="2"/>
  <c r="F17" i="2"/>
  <c r="E17" i="2"/>
  <c r="D17" i="2"/>
  <c r="M16" i="2"/>
  <c r="L16" i="2"/>
  <c r="K16" i="2"/>
  <c r="J16" i="2"/>
  <c r="I16" i="2"/>
  <c r="H16" i="2"/>
  <c r="G16" i="2"/>
  <c r="F16" i="2"/>
  <c r="E16" i="2"/>
  <c r="D16" i="2"/>
  <c r="M15" i="2"/>
  <c r="L15" i="2"/>
  <c r="J15" i="2"/>
  <c r="I15" i="2"/>
  <c r="H15" i="2"/>
  <c r="G15" i="2"/>
  <c r="F15" i="2"/>
  <c r="E15" i="2"/>
  <c r="D15" i="2"/>
  <c r="M14" i="2"/>
  <c r="K14" i="2"/>
  <c r="J14" i="2"/>
  <c r="I14" i="2"/>
  <c r="H14" i="2"/>
  <c r="G14" i="2"/>
  <c r="F14" i="2"/>
  <c r="E14" i="2"/>
  <c r="D14" i="2"/>
  <c r="M13" i="2"/>
  <c r="L13" i="2"/>
  <c r="K13" i="2"/>
  <c r="J13" i="2"/>
  <c r="I13" i="2"/>
  <c r="H13" i="2"/>
  <c r="G13" i="2"/>
  <c r="F13" i="2"/>
  <c r="E13" i="2"/>
  <c r="D13" i="2"/>
  <c r="M12" i="2"/>
  <c r="L12" i="2"/>
  <c r="K12" i="2"/>
  <c r="J12" i="2"/>
  <c r="I12" i="2"/>
  <c r="H12" i="2"/>
  <c r="G12" i="2"/>
  <c r="F12" i="2"/>
  <c r="E12" i="2"/>
  <c r="D12" i="2"/>
  <c r="M11" i="2"/>
  <c r="L11" i="2"/>
  <c r="K11" i="2"/>
  <c r="J11" i="2"/>
  <c r="I11" i="2"/>
  <c r="H11" i="2"/>
  <c r="G11" i="2"/>
  <c r="F11" i="2"/>
  <c r="E11" i="2"/>
  <c r="D11" i="2"/>
  <c r="M10" i="2"/>
  <c r="L10" i="2"/>
  <c r="K10" i="2"/>
  <c r="J10" i="2"/>
  <c r="I10" i="2"/>
  <c r="H10" i="2"/>
  <c r="G10" i="2"/>
  <c r="F10" i="2"/>
  <c r="E10" i="2"/>
  <c r="D10" i="2"/>
  <c r="M9" i="2"/>
  <c r="L9" i="2"/>
  <c r="K9" i="2"/>
  <c r="J9" i="2"/>
  <c r="I9" i="2"/>
  <c r="H9" i="2"/>
  <c r="G9" i="2"/>
  <c r="F9" i="2"/>
  <c r="E9" i="2"/>
  <c r="M8" i="2"/>
  <c r="L8" i="2"/>
  <c r="K8" i="2"/>
  <c r="J8" i="2"/>
  <c r="I8" i="2"/>
  <c r="H8" i="2"/>
  <c r="G8" i="2"/>
  <c r="F8" i="2"/>
  <c r="E8" i="2"/>
  <c r="D8" i="2"/>
  <c r="M7" i="2"/>
  <c r="L7" i="2"/>
  <c r="K7" i="2"/>
  <c r="J7" i="2"/>
  <c r="I7" i="2"/>
  <c r="H7" i="2"/>
  <c r="G7" i="2"/>
  <c r="F7" i="2"/>
  <c r="E7" i="2"/>
  <c r="D7" i="2"/>
  <c r="M6" i="2"/>
  <c r="L6" i="2"/>
  <c r="K6" i="2"/>
  <c r="I6" i="2"/>
  <c r="H6" i="2"/>
  <c r="G6" i="2"/>
  <c r="F6" i="2"/>
  <c r="E6" i="2"/>
  <c r="D6" i="2"/>
  <c r="M5" i="2"/>
  <c r="L5" i="2"/>
  <c r="K5" i="2"/>
  <c r="J5" i="2"/>
  <c r="I5" i="2"/>
  <c r="G5" i="2"/>
  <c r="F5" i="2"/>
  <c r="E5" i="2"/>
  <c r="D5" i="2"/>
  <c r="M4" i="2"/>
  <c r="L4" i="2"/>
  <c r="J4" i="2"/>
  <c r="I4" i="2"/>
  <c r="H4" i="2"/>
  <c r="G4" i="2"/>
  <c r="F4" i="2"/>
  <c r="E4" i="2"/>
  <c r="D4" i="2"/>
  <c r="M3" i="2"/>
  <c r="L3" i="2"/>
  <c r="K3" i="2"/>
  <c r="J3" i="2"/>
  <c r="I3" i="2"/>
  <c r="H3" i="2"/>
  <c r="G3" i="2"/>
  <c r="F3" i="2"/>
  <c r="E3" i="2"/>
  <c r="D3" i="2"/>
  <c r="M28" i="4"/>
  <c r="L28" i="4"/>
  <c r="K28" i="4"/>
  <c r="J28" i="4"/>
  <c r="I28" i="4"/>
  <c r="H28" i="4"/>
  <c r="G28" i="4"/>
  <c r="F28" i="4"/>
  <c r="E28" i="4"/>
  <c r="D28" i="4"/>
  <c r="M27" i="4"/>
  <c r="L27" i="4"/>
  <c r="K27" i="4"/>
  <c r="J27" i="4"/>
  <c r="I27" i="4"/>
  <c r="H27" i="4"/>
  <c r="G27" i="4"/>
  <c r="F27" i="4"/>
  <c r="E27" i="4"/>
  <c r="D27" i="4"/>
  <c r="M26" i="4"/>
  <c r="L26" i="4"/>
  <c r="K26" i="4"/>
  <c r="J26" i="4"/>
  <c r="I26" i="4"/>
  <c r="H26" i="4"/>
  <c r="G26" i="4"/>
  <c r="F26" i="4"/>
  <c r="E26" i="4"/>
  <c r="D26" i="4"/>
  <c r="M25" i="4"/>
  <c r="L25" i="4"/>
  <c r="K25" i="4"/>
  <c r="J25" i="4"/>
  <c r="I25" i="4"/>
  <c r="H25" i="4"/>
  <c r="G25" i="4"/>
  <c r="F25" i="4"/>
  <c r="E25" i="4"/>
  <c r="D25" i="4"/>
  <c r="C25" i="4" s="1"/>
  <c r="M24" i="4"/>
  <c r="L24" i="4"/>
  <c r="K24" i="4"/>
  <c r="J24" i="4"/>
  <c r="I24" i="4"/>
  <c r="H24" i="4"/>
  <c r="G24" i="4"/>
  <c r="F24" i="4"/>
  <c r="E24" i="4"/>
  <c r="D24" i="4"/>
  <c r="M23" i="4"/>
  <c r="L23" i="4"/>
  <c r="K23" i="4"/>
  <c r="J23" i="4"/>
  <c r="I23" i="4"/>
  <c r="H23" i="4"/>
  <c r="G23" i="4"/>
  <c r="F23" i="4"/>
  <c r="E23" i="4"/>
  <c r="D23" i="4"/>
  <c r="M22" i="4"/>
  <c r="L22" i="4"/>
  <c r="K22" i="4"/>
  <c r="J22" i="4"/>
  <c r="I22" i="4"/>
  <c r="H22" i="4"/>
  <c r="G22" i="4"/>
  <c r="F22" i="4"/>
  <c r="E22" i="4"/>
  <c r="D22" i="4"/>
  <c r="M21" i="4"/>
  <c r="L21" i="4"/>
  <c r="K21" i="4"/>
  <c r="J21" i="4"/>
  <c r="I21" i="4"/>
  <c r="H21" i="4"/>
  <c r="G21" i="4"/>
  <c r="F21" i="4"/>
  <c r="E21" i="4"/>
  <c r="D21" i="4"/>
  <c r="C21" i="4" s="1"/>
  <c r="M20" i="4"/>
  <c r="L20" i="4"/>
  <c r="K20" i="4"/>
  <c r="J20" i="4"/>
  <c r="I20" i="4"/>
  <c r="H20" i="4"/>
  <c r="G20" i="4"/>
  <c r="F20" i="4"/>
  <c r="E20" i="4"/>
  <c r="D20" i="4"/>
  <c r="M19" i="4"/>
  <c r="L19" i="4"/>
  <c r="K19" i="4"/>
  <c r="J19" i="4"/>
  <c r="I19" i="4"/>
  <c r="H19" i="4"/>
  <c r="G19" i="4"/>
  <c r="F19" i="4"/>
  <c r="E19" i="4"/>
  <c r="D19" i="4"/>
  <c r="M18" i="4"/>
  <c r="L18" i="4"/>
  <c r="K18" i="4"/>
  <c r="J18" i="4"/>
  <c r="I18" i="4"/>
  <c r="H18" i="4"/>
  <c r="G18" i="4"/>
  <c r="F18" i="4"/>
  <c r="E18" i="4"/>
  <c r="D18" i="4"/>
  <c r="M17" i="4"/>
  <c r="L17" i="4"/>
  <c r="K17" i="4"/>
  <c r="J17" i="4"/>
  <c r="I17" i="4"/>
  <c r="H17" i="4"/>
  <c r="G17" i="4"/>
  <c r="F17" i="4"/>
  <c r="E17" i="4"/>
  <c r="D17" i="4"/>
  <c r="C17" i="4" s="1"/>
  <c r="M16" i="4"/>
  <c r="L16" i="4"/>
  <c r="K16" i="4"/>
  <c r="J16" i="4"/>
  <c r="I16" i="4"/>
  <c r="H16" i="4"/>
  <c r="G16" i="4"/>
  <c r="F16" i="4"/>
  <c r="E16" i="4"/>
  <c r="D16" i="4"/>
  <c r="M15" i="4"/>
  <c r="L15" i="4"/>
  <c r="K15" i="4"/>
  <c r="J15" i="4"/>
  <c r="I15" i="4"/>
  <c r="H15" i="4"/>
  <c r="G15" i="4"/>
  <c r="F15" i="4"/>
  <c r="E15" i="4"/>
  <c r="D15" i="4"/>
  <c r="M14" i="4"/>
  <c r="L14" i="4"/>
  <c r="K14" i="4"/>
  <c r="J14" i="4"/>
  <c r="I14" i="4"/>
  <c r="H14" i="4"/>
  <c r="G14" i="4"/>
  <c r="F14" i="4"/>
  <c r="E14" i="4"/>
  <c r="D14" i="4"/>
  <c r="M13" i="4"/>
  <c r="L13" i="4"/>
  <c r="K13" i="4"/>
  <c r="J13" i="4"/>
  <c r="I13" i="4"/>
  <c r="H13" i="4"/>
  <c r="G13" i="4"/>
  <c r="F13" i="4"/>
  <c r="E13" i="4"/>
  <c r="D13" i="4"/>
  <c r="C13" i="4" s="1"/>
  <c r="M12" i="4"/>
  <c r="L12" i="4"/>
  <c r="K12" i="4"/>
  <c r="J12" i="4"/>
  <c r="I12" i="4"/>
  <c r="H12" i="4"/>
  <c r="G12" i="4"/>
  <c r="F12" i="4"/>
  <c r="E12" i="4"/>
  <c r="D12" i="4"/>
  <c r="M11" i="4"/>
  <c r="L11" i="4"/>
  <c r="K11" i="4"/>
  <c r="J11" i="4"/>
  <c r="I11" i="4"/>
  <c r="H11" i="4"/>
  <c r="G11" i="4"/>
  <c r="F11" i="4"/>
  <c r="E11" i="4"/>
  <c r="D11" i="4"/>
  <c r="M10" i="4"/>
  <c r="L10" i="4"/>
  <c r="K10" i="4"/>
  <c r="J10" i="4"/>
  <c r="I10" i="4"/>
  <c r="H10" i="4"/>
  <c r="G10" i="4"/>
  <c r="F10" i="4"/>
  <c r="E10" i="4"/>
  <c r="D10" i="4"/>
  <c r="M9" i="4"/>
  <c r="L9" i="4"/>
  <c r="K9" i="4"/>
  <c r="J9" i="4"/>
  <c r="I9" i="4"/>
  <c r="H9" i="4"/>
  <c r="G9" i="4"/>
  <c r="F9" i="4"/>
  <c r="E9" i="4"/>
  <c r="D9" i="4"/>
  <c r="C9" i="4" s="1"/>
  <c r="M8" i="4"/>
  <c r="L8" i="4"/>
  <c r="K8" i="4"/>
  <c r="J8" i="4"/>
  <c r="I8" i="4"/>
  <c r="H8" i="4"/>
  <c r="G8" i="4"/>
  <c r="F8" i="4"/>
  <c r="E8" i="4"/>
  <c r="D8" i="4"/>
  <c r="M7" i="4"/>
  <c r="L7" i="4"/>
  <c r="K7" i="4"/>
  <c r="J7" i="4"/>
  <c r="I7" i="4"/>
  <c r="H7" i="4"/>
  <c r="G7" i="4"/>
  <c r="F7" i="4"/>
  <c r="E7" i="4"/>
  <c r="D7" i="4"/>
  <c r="M6" i="4"/>
  <c r="L6" i="4"/>
  <c r="K6" i="4"/>
  <c r="J6" i="4"/>
  <c r="I6" i="4"/>
  <c r="H6" i="4"/>
  <c r="G6" i="4"/>
  <c r="F6" i="4"/>
  <c r="E6" i="4"/>
  <c r="D6" i="4"/>
  <c r="M5" i="4"/>
  <c r="L5" i="4"/>
  <c r="K5" i="4"/>
  <c r="J5" i="4"/>
  <c r="I5" i="4"/>
  <c r="H5" i="4"/>
  <c r="G5" i="4"/>
  <c r="F5" i="4"/>
  <c r="E5" i="4"/>
  <c r="D5" i="4"/>
  <c r="C5" i="4" s="1"/>
  <c r="M4" i="4"/>
  <c r="L4" i="4"/>
  <c r="K4" i="4"/>
  <c r="J4" i="4"/>
  <c r="I4" i="4"/>
  <c r="H4" i="4"/>
  <c r="G4" i="4"/>
  <c r="F4" i="4"/>
  <c r="E4" i="4"/>
  <c r="D4" i="4"/>
  <c r="M3" i="4"/>
  <c r="L3" i="4"/>
  <c r="K3" i="4"/>
  <c r="J3" i="4"/>
  <c r="I3" i="4"/>
  <c r="H3" i="4"/>
  <c r="G3" i="4"/>
  <c r="F3" i="4"/>
  <c r="E3" i="4"/>
  <c r="D3" i="4"/>
  <c r="M28" i="5"/>
  <c r="L28" i="5"/>
  <c r="K28" i="5"/>
  <c r="J28" i="5"/>
  <c r="I28" i="5"/>
  <c r="H28" i="5"/>
  <c r="G28" i="5"/>
  <c r="F28" i="5"/>
  <c r="E28" i="5"/>
  <c r="D28" i="5"/>
  <c r="M27" i="5"/>
  <c r="L27" i="5"/>
  <c r="K27" i="5"/>
  <c r="J27" i="5"/>
  <c r="I27" i="5"/>
  <c r="H27" i="5"/>
  <c r="G27" i="5"/>
  <c r="F27" i="5"/>
  <c r="E27" i="5"/>
  <c r="D27" i="5"/>
  <c r="M26" i="5"/>
  <c r="L26" i="5"/>
  <c r="K26" i="5"/>
  <c r="J26" i="5"/>
  <c r="I26" i="5"/>
  <c r="H26" i="5"/>
  <c r="G26" i="5"/>
  <c r="F26" i="5"/>
  <c r="E26" i="5"/>
  <c r="D26" i="5"/>
  <c r="M25" i="5"/>
  <c r="L25" i="5"/>
  <c r="K25" i="5"/>
  <c r="J25" i="5"/>
  <c r="I25" i="5"/>
  <c r="H25" i="5"/>
  <c r="G25" i="5"/>
  <c r="F25" i="5"/>
  <c r="E25" i="5"/>
  <c r="D25" i="5"/>
  <c r="M24" i="5"/>
  <c r="L24" i="5"/>
  <c r="K24" i="5"/>
  <c r="J24" i="5"/>
  <c r="I24" i="5"/>
  <c r="H24" i="5"/>
  <c r="G24" i="5"/>
  <c r="F24" i="5"/>
  <c r="E24" i="5"/>
  <c r="D24" i="5"/>
  <c r="M23" i="5"/>
  <c r="L23" i="5"/>
  <c r="K23" i="5"/>
  <c r="J23" i="5"/>
  <c r="I23" i="5"/>
  <c r="H23" i="5"/>
  <c r="G23" i="5"/>
  <c r="F23" i="5"/>
  <c r="E23" i="5"/>
  <c r="D23" i="5"/>
  <c r="M22" i="5"/>
  <c r="L22" i="5"/>
  <c r="K22" i="5"/>
  <c r="J22" i="5"/>
  <c r="I22" i="5"/>
  <c r="H22" i="5"/>
  <c r="G22" i="5"/>
  <c r="F22" i="5"/>
  <c r="E22" i="5"/>
  <c r="D22" i="5"/>
  <c r="M21" i="5"/>
  <c r="L21" i="5"/>
  <c r="K21" i="5"/>
  <c r="J21" i="5"/>
  <c r="I21" i="5"/>
  <c r="H21" i="5"/>
  <c r="G21" i="5"/>
  <c r="F21" i="5"/>
  <c r="E21" i="5"/>
  <c r="D21" i="5"/>
  <c r="M20" i="5"/>
  <c r="L20" i="5"/>
  <c r="K20" i="5"/>
  <c r="J20" i="5"/>
  <c r="I20" i="5"/>
  <c r="H20" i="5"/>
  <c r="G20" i="5"/>
  <c r="F20" i="5"/>
  <c r="E20" i="5"/>
  <c r="D20" i="5"/>
  <c r="M19" i="5"/>
  <c r="L19" i="5"/>
  <c r="K19" i="5"/>
  <c r="J19" i="5"/>
  <c r="I19" i="5"/>
  <c r="H19" i="5"/>
  <c r="G19" i="5"/>
  <c r="F19" i="5"/>
  <c r="E19" i="5"/>
  <c r="D19" i="5"/>
  <c r="M18" i="5"/>
  <c r="L18" i="5"/>
  <c r="K18" i="5"/>
  <c r="J18" i="5"/>
  <c r="I18" i="5"/>
  <c r="H18" i="5"/>
  <c r="G18" i="5"/>
  <c r="F18" i="5"/>
  <c r="E18" i="5"/>
  <c r="D18" i="5"/>
  <c r="M17" i="5"/>
  <c r="L17" i="5"/>
  <c r="K17" i="5"/>
  <c r="J17" i="5"/>
  <c r="I17" i="5"/>
  <c r="H17" i="5"/>
  <c r="G17" i="5"/>
  <c r="F17" i="5"/>
  <c r="E17" i="5"/>
  <c r="D17" i="5"/>
  <c r="M16" i="5"/>
  <c r="L16" i="5"/>
  <c r="K16" i="5"/>
  <c r="J16" i="5"/>
  <c r="I16" i="5"/>
  <c r="H16" i="5"/>
  <c r="G16" i="5"/>
  <c r="F16" i="5"/>
  <c r="E16" i="5"/>
  <c r="D16" i="5"/>
  <c r="M15" i="5"/>
  <c r="L15" i="5"/>
  <c r="K15" i="5"/>
  <c r="J15" i="5"/>
  <c r="I15" i="5"/>
  <c r="H15" i="5"/>
  <c r="G15" i="5"/>
  <c r="F15" i="5"/>
  <c r="E15" i="5"/>
  <c r="D15" i="5"/>
  <c r="C15" i="5" s="1"/>
  <c r="M14" i="5"/>
  <c r="L14" i="5"/>
  <c r="K14" i="5"/>
  <c r="J14" i="5"/>
  <c r="I14" i="5"/>
  <c r="H14" i="5"/>
  <c r="G14" i="5"/>
  <c r="F14" i="5"/>
  <c r="E14" i="5"/>
  <c r="D14" i="5"/>
  <c r="M13" i="5"/>
  <c r="L13" i="5"/>
  <c r="K13" i="5"/>
  <c r="J13" i="5"/>
  <c r="I13" i="5"/>
  <c r="H13" i="5"/>
  <c r="G13" i="5"/>
  <c r="F13" i="5"/>
  <c r="E13" i="5"/>
  <c r="D13" i="5"/>
  <c r="M12" i="5"/>
  <c r="L12" i="5"/>
  <c r="K12" i="5"/>
  <c r="J12" i="5"/>
  <c r="I12" i="5"/>
  <c r="H12" i="5"/>
  <c r="G12" i="5"/>
  <c r="F12" i="5"/>
  <c r="E12" i="5"/>
  <c r="D12" i="5"/>
  <c r="M11" i="5"/>
  <c r="L11" i="5"/>
  <c r="K11" i="5"/>
  <c r="J11" i="5"/>
  <c r="I11" i="5"/>
  <c r="H11" i="5"/>
  <c r="G11" i="5"/>
  <c r="F11" i="5"/>
  <c r="E11" i="5"/>
  <c r="D11" i="5"/>
  <c r="M10" i="5"/>
  <c r="L10" i="5"/>
  <c r="K10" i="5"/>
  <c r="J10" i="5"/>
  <c r="I10" i="5"/>
  <c r="H10" i="5"/>
  <c r="G10" i="5"/>
  <c r="F10" i="5"/>
  <c r="E10" i="5"/>
  <c r="D10" i="5"/>
  <c r="M9" i="5"/>
  <c r="L9" i="5"/>
  <c r="K9" i="5"/>
  <c r="J9" i="5"/>
  <c r="I9" i="5"/>
  <c r="H9" i="5"/>
  <c r="G9" i="5"/>
  <c r="F9" i="5"/>
  <c r="E9" i="5"/>
  <c r="D9" i="5"/>
  <c r="M8" i="5"/>
  <c r="L8" i="5"/>
  <c r="K8" i="5"/>
  <c r="J8" i="5"/>
  <c r="I8" i="5"/>
  <c r="H8" i="5"/>
  <c r="G8" i="5"/>
  <c r="F8" i="5"/>
  <c r="E8" i="5"/>
  <c r="D8" i="5"/>
  <c r="M7" i="5"/>
  <c r="L7" i="5"/>
  <c r="K7" i="5"/>
  <c r="J7" i="5"/>
  <c r="I7" i="5"/>
  <c r="H7" i="5"/>
  <c r="G7" i="5"/>
  <c r="F7" i="5"/>
  <c r="E7" i="5"/>
  <c r="D7" i="5"/>
  <c r="C7" i="5" s="1"/>
  <c r="M6" i="5"/>
  <c r="L6" i="5"/>
  <c r="K6" i="5"/>
  <c r="J6" i="5"/>
  <c r="I6" i="5"/>
  <c r="H6" i="5"/>
  <c r="G6" i="5"/>
  <c r="F6" i="5"/>
  <c r="E6" i="5"/>
  <c r="D6" i="5"/>
  <c r="M5" i="5"/>
  <c r="L5" i="5"/>
  <c r="K5" i="5"/>
  <c r="J5" i="5"/>
  <c r="I5" i="5"/>
  <c r="H5" i="5"/>
  <c r="G5" i="5"/>
  <c r="F5" i="5"/>
  <c r="E5" i="5"/>
  <c r="D5" i="5"/>
  <c r="M4" i="5"/>
  <c r="L4" i="5"/>
  <c r="K4" i="5"/>
  <c r="J4" i="5"/>
  <c r="I4" i="5"/>
  <c r="H4" i="5"/>
  <c r="G4" i="5"/>
  <c r="F4" i="5"/>
  <c r="E4" i="5"/>
  <c r="D4" i="5"/>
  <c r="M3" i="5"/>
  <c r="L3" i="5"/>
  <c r="K3" i="5"/>
  <c r="J3" i="5"/>
  <c r="I3" i="5"/>
  <c r="H3" i="5"/>
  <c r="G3" i="5"/>
  <c r="F3" i="5"/>
  <c r="E3" i="5"/>
  <c r="D3" i="5"/>
  <c r="C6" i="4" l="1"/>
  <c r="C10" i="4"/>
  <c r="C14" i="4"/>
  <c r="C18" i="4"/>
  <c r="C22" i="4"/>
  <c r="C26" i="4"/>
  <c r="C4" i="6"/>
  <c r="C20" i="6"/>
  <c r="C3" i="4"/>
  <c r="C7" i="4"/>
  <c r="C11" i="4"/>
  <c r="C15" i="4"/>
  <c r="C19" i="4"/>
  <c r="C23" i="4"/>
  <c r="C27" i="4"/>
  <c r="C4" i="4"/>
  <c r="C8" i="4"/>
  <c r="C12" i="4"/>
  <c r="C16" i="4"/>
  <c r="C20" i="4"/>
  <c r="C24" i="4"/>
  <c r="C28" i="4"/>
  <c r="C6" i="6"/>
  <c r="C22" i="6"/>
  <c r="C25" i="7"/>
  <c r="C5" i="7"/>
  <c r="C13" i="7"/>
  <c r="C27" i="5"/>
  <c r="C12" i="7"/>
  <c r="C16" i="5"/>
  <c r="C18" i="5"/>
  <c r="C20" i="5"/>
  <c r="C22" i="5"/>
  <c r="C24" i="5"/>
  <c r="C26" i="5"/>
  <c r="C3" i="6"/>
  <c r="C11" i="6"/>
  <c r="C13" i="6"/>
  <c r="C19" i="6"/>
  <c r="C27" i="6"/>
  <c r="C3" i="7"/>
  <c r="C26" i="7"/>
  <c r="C15" i="6"/>
  <c r="C10" i="7"/>
  <c r="C3" i="5"/>
  <c r="C11" i="5"/>
  <c r="C7" i="6"/>
  <c r="C23" i="6"/>
  <c r="C9" i="7"/>
  <c r="C17" i="7"/>
  <c r="C19" i="7"/>
  <c r="C5" i="5"/>
  <c r="C19" i="5"/>
  <c r="C23" i="5"/>
  <c r="C28" i="5"/>
  <c r="C3" i="2"/>
  <c r="C6" i="2"/>
  <c r="C11" i="2"/>
  <c r="C13" i="2"/>
  <c r="C16" i="2"/>
  <c r="C18" i="2"/>
  <c r="C23" i="2"/>
  <c r="C25" i="2"/>
  <c r="C26" i="2"/>
  <c r="C8" i="6"/>
  <c r="C10" i="6"/>
  <c r="C17" i="6"/>
  <c r="C24" i="6"/>
  <c r="C26" i="6"/>
  <c r="C7" i="7"/>
  <c r="C14" i="7"/>
  <c r="C16" i="7"/>
  <c r="C6" i="5"/>
  <c r="C9" i="5"/>
  <c r="C13" i="5"/>
  <c r="C5" i="6"/>
  <c r="C12" i="6"/>
  <c r="C14" i="6"/>
  <c r="C21" i="6"/>
  <c r="C28" i="6"/>
  <c r="C4" i="7"/>
  <c r="C11" i="7"/>
  <c r="C18" i="7"/>
  <c r="C20" i="7"/>
  <c r="C23" i="7"/>
  <c r="C28" i="7"/>
  <c r="C4" i="5"/>
  <c r="C8" i="5"/>
  <c r="C10" i="5"/>
  <c r="C12" i="5"/>
  <c r="C14" i="5"/>
  <c r="C17" i="5"/>
  <c r="C21" i="5"/>
  <c r="C25" i="5"/>
  <c r="C9" i="6"/>
  <c r="C16" i="6"/>
  <c r="C18" i="6"/>
  <c r="C25" i="6"/>
  <c r="C6" i="7"/>
  <c r="C8" i="7"/>
  <c r="C15" i="7"/>
  <c r="C22" i="7"/>
  <c r="C24" i="7"/>
  <c r="C27" i="7"/>
  <c r="C4" i="2"/>
  <c r="C10" i="2"/>
  <c r="C12" i="2"/>
  <c r="C14" i="2"/>
  <c r="C17" i="2"/>
  <c r="C24" i="2"/>
  <c r="C5" i="2"/>
  <c r="C8" i="2"/>
  <c r="C15" i="2"/>
  <c r="C20" i="2"/>
  <c r="C22" i="2"/>
  <c r="C28" i="2"/>
  <c r="C7" i="2"/>
  <c r="C9" i="2"/>
  <c r="C19" i="2"/>
  <c r="C21" i="2"/>
  <c r="C27" i="2"/>
</calcChain>
</file>

<file path=xl/sharedStrings.xml><?xml version="1.0" encoding="utf-8"?>
<sst xmlns="http://schemas.openxmlformats.org/spreadsheetml/2006/main" count="634" uniqueCount="242">
  <si>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</si>
  <si>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</si>
  <si>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</si>
  <si>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</si>
  <si>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</si>
  <si>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</si>
  <si>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</si>
  <si>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</si>
  <si>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</si>
  <si>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</si>
  <si>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</si>
  <si>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</si>
  <si>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</si>
  <si>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</si>
  <si>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</si>
  <si>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</si>
  <si>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</si>
  <si>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</si>
  <si>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</si>
  <si>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</si>
  <si>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</si>
  <si>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</si>
  <si>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</si>
  <si>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</si>
  <si>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</si>
  <si>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</si>
  <si>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</si>
  <si>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</si>
  <si>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</si>
  <si>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</si>
  <si>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</si>
  <si>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</si>
  <si>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</si>
  <si>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</si>
  <si>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</si>
  <si>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</si>
  <si>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</si>
  <si>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</si>
  <si>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</si>
  <si>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</si>
  <si>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</si>
  <si>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</si>
  <si>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</si>
  <si>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</si>
  <si>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</si>
  <si>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</si>
  <si>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</si>
  <si>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</si>
  <si>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</si>
  <si>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</si>
  <si>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</si>
  <si>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</si>
  <si>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People</t>
  </si>
  <si>
    <t>Aliquippa</t>
  </si>
  <si>
    <t>Beaver</t>
  </si>
  <si>
    <t>Third</t>
  </si>
  <si>
    <t>No</t>
  </si>
  <si>
    <t>Allentown</t>
  </si>
  <si>
    <t>Lehigh</t>
  </si>
  <si>
    <t>Home Rule</t>
  </si>
  <si>
    <t>Altoona</t>
  </si>
  <si>
    <t>Blair</t>
  </si>
  <si>
    <t>Plan</t>
  </si>
  <si>
    <t>Arnold</t>
  </si>
  <si>
    <t>Westmoreland</t>
  </si>
  <si>
    <t>Beaver Falls</t>
  </si>
  <si>
    <t>Bethlehem</t>
  </si>
  <si>
    <t>Northampton</t>
  </si>
  <si>
    <t>Charter</t>
  </si>
  <si>
    <t>Bradford</t>
  </si>
  <si>
    <t>McKean</t>
  </si>
  <si>
    <t>Butler</t>
  </si>
  <si>
    <t>Carbondale</t>
  </si>
  <si>
    <t>Lackawanna</t>
  </si>
  <si>
    <t>Chester</t>
  </si>
  <si>
    <t>Delaware</t>
  </si>
  <si>
    <t>Clairton</t>
  </si>
  <si>
    <t>Allegheny</t>
  </si>
  <si>
    <t>Coatesville</t>
  </si>
  <si>
    <t>Connellsville</t>
  </si>
  <si>
    <t>Fayette</t>
  </si>
  <si>
    <t>Corry</t>
  </si>
  <si>
    <t>Erie</t>
  </si>
  <si>
    <t>DuBois</t>
  </si>
  <si>
    <t>Clearfield</t>
  </si>
  <si>
    <t>Duquesne</t>
  </si>
  <si>
    <t>Easton</t>
  </si>
  <si>
    <t>Farrell</t>
  </si>
  <si>
    <t>Mercer</t>
  </si>
  <si>
    <t>Franklin</t>
  </si>
  <si>
    <t>Venango</t>
  </si>
  <si>
    <t>Greensburg</t>
  </si>
  <si>
    <t>Harrisburg</t>
  </si>
  <si>
    <t>Dauphin</t>
  </si>
  <si>
    <t>Hazleton</t>
  </si>
  <si>
    <t>Luzerne</t>
  </si>
  <si>
    <t>Hermitage</t>
  </si>
  <si>
    <t>Jeannette</t>
  </si>
  <si>
    <t>Johnstown</t>
  </si>
  <si>
    <t>Cambria</t>
  </si>
  <si>
    <t>Lancaster</t>
  </si>
  <si>
    <t>Latrobe</t>
  </si>
  <si>
    <t>Lebanon</t>
  </si>
  <si>
    <t>Lock Haven</t>
  </si>
  <si>
    <t>Clinton</t>
  </si>
  <si>
    <t>Lower Burrell</t>
  </si>
  <si>
    <t>McKeesport</t>
  </si>
  <si>
    <t>Meadville</t>
  </si>
  <si>
    <t>Crawford</t>
  </si>
  <si>
    <t>Monessen</t>
  </si>
  <si>
    <t>Monongahela</t>
  </si>
  <si>
    <t>Washington</t>
  </si>
  <si>
    <t>Nanticoke</t>
  </si>
  <si>
    <t>New Castle</t>
  </si>
  <si>
    <t>Lawrence</t>
  </si>
  <si>
    <t>New Kensington</t>
  </si>
  <si>
    <t>Oil City</t>
  </si>
  <si>
    <t>Parker</t>
  </si>
  <si>
    <t>Armstrong</t>
  </si>
  <si>
    <t>Philadelphia</t>
  </si>
  <si>
    <t>First</t>
  </si>
  <si>
    <t>Pittsburgh</t>
  </si>
  <si>
    <t>Second</t>
  </si>
  <si>
    <t>Pittston</t>
  </si>
  <si>
    <t>Pottsville</t>
  </si>
  <si>
    <t>Schuylkill</t>
  </si>
  <si>
    <t>Reading</t>
  </si>
  <si>
    <t>Berks</t>
  </si>
  <si>
    <t>Scranton</t>
  </si>
  <si>
    <t>Second A</t>
  </si>
  <si>
    <t>Shamokin</t>
  </si>
  <si>
    <t>Northumberland</t>
  </si>
  <si>
    <t>Sharon</t>
  </si>
  <si>
    <t>St. Marys</t>
  </si>
  <si>
    <t>Elk</t>
  </si>
  <si>
    <t>Sunbury</t>
  </si>
  <si>
    <t>Titusville</t>
  </si>
  <si>
    <t>Uniontown</t>
  </si>
  <si>
    <t>Warren</t>
  </si>
  <si>
    <t>Wilkes-Barre</t>
  </si>
  <si>
    <t>Williamsport</t>
  </si>
  <si>
    <t>Lycoming</t>
  </si>
  <si>
    <t>York</t>
  </si>
  <si>
    <t>Location 1</t>
  </si>
  <si>
    <t>Location 2</t>
  </si>
  <si>
    <t>Location 3</t>
  </si>
  <si>
    <t>Location 4</t>
  </si>
  <si>
    <t>Location 5</t>
  </si>
  <si>
    <t>Location 6</t>
  </si>
  <si>
    <t>Location 7</t>
  </si>
  <si>
    <t>Location 8</t>
  </si>
  <si>
    <t>Location 9</t>
  </si>
  <si>
    <t>Location 10</t>
  </si>
  <si>
    <t>bradford</t>
  </si>
  <si>
    <t>Day 27</t>
  </si>
  <si>
    <t>Day 28</t>
  </si>
  <si>
    <t>Day 29</t>
  </si>
  <si>
    <t>Day 30</t>
  </si>
  <si>
    <t>Day 31</t>
  </si>
  <si>
    <t>Day 32</t>
  </si>
  <si>
    <t>Day 33</t>
  </si>
  <si>
    <t>Day 34</t>
  </si>
  <si>
    <t>Day 35</t>
  </si>
  <si>
    <t>Day 36</t>
  </si>
  <si>
    <t>Day 37</t>
  </si>
  <si>
    <t>Day 38</t>
  </si>
  <si>
    <t>Day 39</t>
  </si>
  <si>
    <t>Day 40</t>
  </si>
  <si>
    <t>Day 41</t>
  </si>
  <si>
    <t>Day 42</t>
  </si>
  <si>
    <t>Day 43</t>
  </si>
  <si>
    <t>Day 44</t>
  </si>
  <si>
    <t>Day 45</t>
  </si>
  <si>
    <t>Day 46</t>
  </si>
  <si>
    <t>Day 47</t>
  </si>
  <si>
    <t>Day 48</t>
  </si>
  <si>
    <t>Day 49</t>
  </si>
  <si>
    <t>Day 50</t>
  </si>
  <si>
    <t>Day 51</t>
  </si>
  <si>
    <t>Day 52</t>
  </si>
  <si>
    <t>Day 53</t>
  </si>
  <si>
    <t>Day 54</t>
  </si>
  <si>
    <t>Day 55</t>
  </si>
  <si>
    <t>Day 56</t>
  </si>
  <si>
    <t>Day 57</t>
  </si>
  <si>
    <t>Day 58</t>
  </si>
  <si>
    <t>Day 59</t>
  </si>
  <si>
    <t>Day 60</t>
  </si>
  <si>
    <t>Day 61</t>
  </si>
  <si>
    <t>Day 62</t>
  </si>
  <si>
    <t>Day 63</t>
  </si>
  <si>
    <t>Day 64</t>
  </si>
  <si>
    <t>Day 65</t>
  </si>
  <si>
    <t>Day 66</t>
  </si>
  <si>
    <t>Day 67</t>
  </si>
  <si>
    <t>Day 68</t>
  </si>
  <si>
    <t>Day 69</t>
  </si>
  <si>
    <t>Day 70</t>
  </si>
  <si>
    <t>Day 71</t>
  </si>
  <si>
    <t>Day 72</t>
  </si>
  <si>
    <t>Day 73</t>
  </si>
  <si>
    <t>Day 74</t>
  </si>
  <si>
    <t>Day 75</t>
  </si>
  <si>
    <t>Day 76</t>
  </si>
  <si>
    <t>Day 77</t>
  </si>
  <si>
    <t>Day 78</t>
  </si>
  <si>
    <t>Day 79</t>
  </si>
  <si>
    <t>Day 80</t>
  </si>
  <si>
    <t>Day 81</t>
  </si>
  <si>
    <t>Day 82</t>
  </si>
  <si>
    <t>altoona</t>
  </si>
  <si>
    <t>washington</t>
  </si>
  <si>
    <t>ZTA</t>
  </si>
  <si>
    <t>ZTB</t>
  </si>
  <si>
    <t>ZTC</t>
  </si>
  <si>
    <t>ZTD</t>
  </si>
  <si>
    <t>Scenario 1</t>
  </si>
  <si>
    <t>Scenario 2</t>
  </si>
  <si>
    <t>Scenerio 3</t>
  </si>
  <si>
    <t>Scenerio 4</t>
  </si>
  <si>
    <t>Scenerio 5</t>
  </si>
  <si>
    <t>Scenerio 1</t>
  </si>
  <si>
    <t>Scenerio 2</t>
  </si>
  <si>
    <t xml:space="preserve">Channel: </t>
  </si>
  <si>
    <t>Channel:</t>
  </si>
  <si>
    <t>Cholera</t>
  </si>
  <si>
    <t>Sars</t>
  </si>
  <si>
    <t>ZTE</t>
  </si>
  <si>
    <t>Scenerio 1 Points</t>
  </si>
  <si>
    <t>462.61250Mhz</t>
  </si>
  <si>
    <t>Channel 3:</t>
  </si>
  <si>
    <t xml:space="preserve">Channel 4: </t>
  </si>
  <si>
    <t>462.63750Mhz</t>
  </si>
  <si>
    <t>462.66250Mhz</t>
  </si>
  <si>
    <t>Channel 5:</t>
  </si>
  <si>
    <t xml:space="preserve">Channel 8: </t>
  </si>
  <si>
    <t>467.56250Mhz</t>
  </si>
  <si>
    <t xml:space="preserve">Print each scenrio sheet making sure that the city column is hidden, add in a different channel per scenerio. On the Calcu sheet, type the name in and if it matches, the team will get a point. </t>
  </si>
  <si>
    <t>Order</t>
  </si>
  <si>
    <t>E. coli</t>
  </si>
  <si>
    <t xml:space="preserve">Shigella </t>
  </si>
  <si>
    <t>Norovirus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</si>
</sst>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9F9F9"/>
        <bgColor indexed="64"/>
      </patternFill>
    </fill>
  </fills>
  <borders count="5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 style="medium">
        <color rgb="FFAAAAAA"/>
      </right>
      <top/>
      <bottom style="medium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0" fillId="2" borderId="0" xfId="0" applyFill="1"/>
    <xf numFmtId="0" fontId="0" fillId="3" borderId="0" xfId="0" applyFill="1"/>
    <xf numFmtId="0" fontId="2" fillId="5" borderId="1" xfId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3" fontId="1" fillId="5" borderId="1" xfId="0" applyNumberFormat="1" applyFont="1" applyFill="1" applyBorder="1" applyAlignment="1">
      <alignment vertical="center" wrapText="1"/>
    </xf>
    <xf numFmtId="0" fontId="2" fillId="5" borderId="2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3" fillId="0" borderId="0" xfId="0" applyFont="1"/>
    <xf numFmtId="0" fontId="3" fillId="0" borderId="4" xfId="0" applyFont="1" applyBorder="1"/>
    <xf numFmtId="0" fontId="3" fillId="3" borderId="4" xfId="0" applyFont="1" applyFill="1" applyBorder="1"/>
    <xf numFmtId="0" fontId="3" fillId="2" borderId="4" xfId="0" applyFont="1" applyFill="1" applyBorder="1"/>
    <xf numFmtId="0" fontId="4" fillId="0" borderId="0" xfId="0" applyFont="1"/>
    <xf numFmtId="0" fontId="3" fillId="4" borderId="4" xfId="0" applyFont="1" applyFill="1" applyBorder="1"/>
    <xf numFmtId="0" fontId="0" fillId="0" borderId="4" xfId="0" applyBorder="1"/>
    <xf numFmtId="0" fontId="2" fillId="5" borderId="2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0" fontId="1" fillId="5" borderId="3" xfId="0" applyFont="1" applyFill="1" applyBorder="1" applyAlignment="1">
      <alignment vertical="center" wrapText="1"/>
    </xf>
    <xf numFmtId="3" fontId="1" fillId="5" borderId="2" xfId="0" applyNumberFormat="1" applyFont="1" applyFill="1" applyBorder="1" applyAlignment="1">
      <alignment vertical="center" wrapText="1"/>
    </xf>
    <xf numFmtId="3" fontId="1" fillId="5" borderId="3" xfId="0" applyNumberFormat="1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en.wikipedia.org/wiki/Connellsville,_Pennsylvania" TargetMode="External"/><Relationship Id="rId21" Type="http://schemas.openxmlformats.org/officeDocument/2006/relationships/hyperlink" Target="https://en.wikipedia.org/wiki/Delaware_County,_Pennsylvania" TargetMode="External"/><Relationship Id="rId42" Type="http://schemas.openxmlformats.org/officeDocument/2006/relationships/hyperlink" Target="https://en.wikipedia.org/wiki/Greensburg,_Pennsylvania" TargetMode="External"/><Relationship Id="rId47" Type="http://schemas.openxmlformats.org/officeDocument/2006/relationships/hyperlink" Target="https://en.wikipedia.org/wiki/Luzerne_County,_Pennsylvania" TargetMode="External"/><Relationship Id="rId63" Type="http://schemas.openxmlformats.org/officeDocument/2006/relationships/hyperlink" Target="https://en.wikipedia.org/wiki/Westmoreland_County,_Pennsylvania" TargetMode="External"/><Relationship Id="rId68" Type="http://schemas.openxmlformats.org/officeDocument/2006/relationships/hyperlink" Target="https://en.wikipedia.org/wiki/Monessen,_Pennsylvania" TargetMode="External"/><Relationship Id="rId84" Type="http://schemas.openxmlformats.org/officeDocument/2006/relationships/hyperlink" Target="https://en.wikipedia.org/wiki/Pittsburgh" TargetMode="External"/><Relationship Id="rId89" Type="http://schemas.openxmlformats.org/officeDocument/2006/relationships/hyperlink" Target="https://en.wikipedia.org/wiki/Schuylkill_County,_Pennsylvania" TargetMode="External"/><Relationship Id="rId112" Type="http://schemas.openxmlformats.org/officeDocument/2006/relationships/hyperlink" Target="https://en.wikipedia.org/wiki/Williamsport,_Pennsylvania" TargetMode="External"/><Relationship Id="rId16" Type="http://schemas.openxmlformats.org/officeDocument/2006/relationships/hyperlink" Target="https://en.wikipedia.org/wiki/Butler,_Pennsylvania" TargetMode="External"/><Relationship Id="rId107" Type="http://schemas.openxmlformats.org/officeDocument/2006/relationships/hyperlink" Target="https://en.wikipedia.org/wiki/Warren_County,_Pennsylvania" TargetMode="External"/><Relationship Id="rId11" Type="http://schemas.openxmlformats.org/officeDocument/2006/relationships/hyperlink" Target="https://en.wikipedia.org/wiki/Bethlehem,_Pennsylvania" TargetMode="External"/><Relationship Id="rId32" Type="http://schemas.openxmlformats.org/officeDocument/2006/relationships/hyperlink" Target="https://en.wikipedia.org/wiki/Duquesne,_Pennsylvania" TargetMode="External"/><Relationship Id="rId37" Type="http://schemas.openxmlformats.org/officeDocument/2006/relationships/hyperlink" Target="https://en.wikipedia.org/wiki/Erie_County,_Pennsylvania" TargetMode="External"/><Relationship Id="rId53" Type="http://schemas.openxmlformats.org/officeDocument/2006/relationships/hyperlink" Target="https://en.wikipedia.org/wiki/Cambria_County,_Pennsylvania" TargetMode="External"/><Relationship Id="rId58" Type="http://schemas.openxmlformats.org/officeDocument/2006/relationships/hyperlink" Target="https://en.wikipedia.org/wiki/Lebanon,_Pennsylvania" TargetMode="External"/><Relationship Id="rId74" Type="http://schemas.openxmlformats.org/officeDocument/2006/relationships/hyperlink" Target="https://en.wikipedia.org/wiki/New_Castle,_Pennsylvania" TargetMode="External"/><Relationship Id="rId79" Type="http://schemas.openxmlformats.org/officeDocument/2006/relationships/hyperlink" Target="https://en.wikipedia.org/wiki/Venango_County,_Pennsylvania" TargetMode="External"/><Relationship Id="rId102" Type="http://schemas.openxmlformats.org/officeDocument/2006/relationships/hyperlink" Target="https://en.wikipedia.org/wiki/Titusville,_Pennsylvania" TargetMode="External"/><Relationship Id="rId5" Type="http://schemas.openxmlformats.org/officeDocument/2006/relationships/hyperlink" Target="https://en.wikipedia.org/wiki/Altoona,_Pennsylvania" TargetMode="External"/><Relationship Id="rId90" Type="http://schemas.openxmlformats.org/officeDocument/2006/relationships/hyperlink" Target="https://en.wikipedia.org/wiki/Reading,_Pennsylvania" TargetMode="External"/><Relationship Id="rId95" Type="http://schemas.openxmlformats.org/officeDocument/2006/relationships/hyperlink" Target="https://en.wikipedia.org/wiki/Northumberland_County,_Pennsylvania" TargetMode="External"/><Relationship Id="rId22" Type="http://schemas.openxmlformats.org/officeDocument/2006/relationships/hyperlink" Target="https://en.wikipedia.org/wiki/Clairton,_Pennsylvania" TargetMode="External"/><Relationship Id="rId27" Type="http://schemas.openxmlformats.org/officeDocument/2006/relationships/hyperlink" Target="https://en.wikipedia.org/wiki/Fayette_County,_Pennsylvania" TargetMode="External"/><Relationship Id="rId43" Type="http://schemas.openxmlformats.org/officeDocument/2006/relationships/hyperlink" Target="https://en.wikipedia.org/wiki/Westmoreland_County,_Pennsylvania" TargetMode="External"/><Relationship Id="rId48" Type="http://schemas.openxmlformats.org/officeDocument/2006/relationships/hyperlink" Target="https://en.wikipedia.org/wiki/Hermitage,_Pennsylvania" TargetMode="External"/><Relationship Id="rId64" Type="http://schemas.openxmlformats.org/officeDocument/2006/relationships/hyperlink" Target="https://en.wikipedia.org/wiki/McKeesport,_Pennsylvania" TargetMode="External"/><Relationship Id="rId69" Type="http://schemas.openxmlformats.org/officeDocument/2006/relationships/hyperlink" Target="https://en.wikipedia.org/wiki/Westmoreland_County,_Pennsylvania" TargetMode="External"/><Relationship Id="rId113" Type="http://schemas.openxmlformats.org/officeDocument/2006/relationships/hyperlink" Target="https://en.wikipedia.org/wiki/Lycoming_County,_Pennsylvania" TargetMode="External"/><Relationship Id="rId80" Type="http://schemas.openxmlformats.org/officeDocument/2006/relationships/hyperlink" Target="https://en.wikipedia.org/wiki/Parker,_Pennsylvania" TargetMode="External"/><Relationship Id="rId85" Type="http://schemas.openxmlformats.org/officeDocument/2006/relationships/hyperlink" Target="https://en.wikipedia.org/wiki/Allegheny_County,_Pennsylvania" TargetMode="External"/><Relationship Id="rId12" Type="http://schemas.openxmlformats.org/officeDocument/2006/relationships/hyperlink" Target="https://en.wikipedia.org/wiki/Lehigh_County,_Pennsylvania" TargetMode="External"/><Relationship Id="rId17" Type="http://schemas.openxmlformats.org/officeDocument/2006/relationships/hyperlink" Target="https://en.wikipedia.org/wiki/Butler_County,_Pennsylvania" TargetMode="External"/><Relationship Id="rId33" Type="http://schemas.openxmlformats.org/officeDocument/2006/relationships/hyperlink" Target="https://en.wikipedia.org/wiki/Allegheny_County,_Pennsylvania" TargetMode="External"/><Relationship Id="rId38" Type="http://schemas.openxmlformats.org/officeDocument/2006/relationships/hyperlink" Target="https://en.wikipedia.org/wiki/Farrell,_Pennsylvania" TargetMode="External"/><Relationship Id="rId59" Type="http://schemas.openxmlformats.org/officeDocument/2006/relationships/hyperlink" Target="https://en.wikipedia.org/wiki/Lebanon_County,_Pennsylvania" TargetMode="External"/><Relationship Id="rId103" Type="http://schemas.openxmlformats.org/officeDocument/2006/relationships/hyperlink" Target="https://en.wikipedia.org/wiki/Crawford_County,_Pennsylvania" TargetMode="External"/><Relationship Id="rId108" Type="http://schemas.openxmlformats.org/officeDocument/2006/relationships/hyperlink" Target="https://en.wikipedia.org/wiki/Washington,_Pennsylvania" TargetMode="External"/><Relationship Id="rId54" Type="http://schemas.openxmlformats.org/officeDocument/2006/relationships/hyperlink" Target="https://en.wikipedia.org/wiki/Lancaster,_Pennsylvania" TargetMode="External"/><Relationship Id="rId70" Type="http://schemas.openxmlformats.org/officeDocument/2006/relationships/hyperlink" Target="https://en.wikipedia.org/wiki/Monongahela,_Pennsylvania" TargetMode="External"/><Relationship Id="rId75" Type="http://schemas.openxmlformats.org/officeDocument/2006/relationships/hyperlink" Target="https://en.wikipedia.org/wiki/Lawrence_County,_Pennsylvania" TargetMode="External"/><Relationship Id="rId91" Type="http://schemas.openxmlformats.org/officeDocument/2006/relationships/hyperlink" Target="https://en.wikipedia.org/wiki/Berks_County,_Pennsylvania" TargetMode="External"/><Relationship Id="rId96" Type="http://schemas.openxmlformats.org/officeDocument/2006/relationships/hyperlink" Target="https://en.wikipedia.org/wiki/Sharon,_Pennsylvania" TargetMode="External"/><Relationship Id="rId1" Type="http://schemas.openxmlformats.org/officeDocument/2006/relationships/hyperlink" Target="https://en.wikipedia.org/wiki/Aliquippa,_Pennsylvania" TargetMode="External"/><Relationship Id="rId6" Type="http://schemas.openxmlformats.org/officeDocument/2006/relationships/hyperlink" Target="https://en.wikipedia.org/wiki/Blair_County,_Pennsylvania" TargetMode="External"/><Relationship Id="rId15" Type="http://schemas.openxmlformats.org/officeDocument/2006/relationships/hyperlink" Target="https://en.wikipedia.org/wiki/McKean_County,_Pennsylvania" TargetMode="External"/><Relationship Id="rId23" Type="http://schemas.openxmlformats.org/officeDocument/2006/relationships/hyperlink" Target="https://en.wikipedia.org/wiki/Allegheny_County,_Pennsylvania" TargetMode="External"/><Relationship Id="rId28" Type="http://schemas.openxmlformats.org/officeDocument/2006/relationships/hyperlink" Target="https://en.wikipedia.org/wiki/Corry,_Pennsylvania" TargetMode="External"/><Relationship Id="rId36" Type="http://schemas.openxmlformats.org/officeDocument/2006/relationships/hyperlink" Target="https://en.wikipedia.org/wiki/Erie,_Pennsylvania" TargetMode="External"/><Relationship Id="rId49" Type="http://schemas.openxmlformats.org/officeDocument/2006/relationships/hyperlink" Target="https://en.wikipedia.org/wiki/Mercer_County,_Pennsylvania" TargetMode="External"/><Relationship Id="rId57" Type="http://schemas.openxmlformats.org/officeDocument/2006/relationships/hyperlink" Target="https://en.wikipedia.org/wiki/Westmoreland_County,_Pennsylvania" TargetMode="External"/><Relationship Id="rId106" Type="http://schemas.openxmlformats.org/officeDocument/2006/relationships/hyperlink" Target="https://en.wikipedia.org/wiki/Warren,_Pennsylvania" TargetMode="External"/><Relationship Id="rId114" Type="http://schemas.openxmlformats.org/officeDocument/2006/relationships/hyperlink" Target="https://en.wikipedia.org/wiki/York,_Pennsylvania" TargetMode="External"/><Relationship Id="rId10" Type="http://schemas.openxmlformats.org/officeDocument/2006/relationships/hyperlink" Target="https://en.wikipedia.org/wiki/Beaver_County,_Pennsylvania" TargetMode="External"/><Relationship Id="rId31" Type="http://schemas.openxmlformats.org/officeDocument/2006/relationships/hyperlink" Target="https://en.wikipedia.org/wiki/Clearfield_County,_Pennsylvania" TargetMode="External"/><Relationship Id="rId44" Type="http://schemas.openxmlformats.org/officeDocument/2006/relationships/hyperlink" Target="https://en.wikipedia.org/wiki/Harrisburg,_Pennsylvania" TargetMode="External"/><Relationship Id="rId52" Type="http://schemas.openxmlformats.org/officeDocument/2006/relationships/hyperlink" Target="https://en.wikipedia.org/wiki/Johnstown,_Pennsylvania" TargetMode="External"/><Relationship Id="rId60" Type="http://schemas.openxmlformats.org/officeDocument/2006/relationships/hyperlink" Target="https://en.wikipedia.org/wiki/Lock_Haven,_Pennsylvania" TargetMode="External"/><Relationship Id="rId65" Type="http://schemas.openxmlformats.org/officeDocument/2006/relationships/hyperlink" Target="https://en.wikipedia.org/wiki/Allegheny_County,_Pennsylvania" TargetMode="External"/><Relationship Id="rId73" Type="http://schemas.openxmlformats.org/officeDocument/2006/relationships/hyperlink" Target="https://en.wikipedia.org/wiki/Luzerne_County,_Pennsylvania" TargetMode="External"/><Relationship Id="rId78" Type="http://schemas.openxmlformats.org/officeDocument/2006/relationships/hyperlink" Target="https://en.wikipedia.org/wiki/Oil_City,_Pennsylvania" TargetMode="External"/><Relationship Id="rId81" Type="http://schemas.openxmlformats.org/officeDocument/2006/relationships/hyperlink" Target="https://en.wikipedia.org/wiki/Armstrong_County,_Pennsylvania" TargetMode="External"/><Relationship Id="rId86" Type="http://schemas.openxmlformats.org/officeDocument/2006/relationships/hyperlink" Target="https://en.wikipedia.org/wiki/Pittston,_Pennsylvania" TargetMode="External"/><Relationship Id="rId94" Type="http://schemas.openxmlformats.org/officeDocument/2006/relationships/hyperlink" Target="https://en.wikipedia.org/wiki/Shamokin,_Pennsylvania" TargetMode="External"/><Relationship Id="rId99" Type="http://schemas.openxmlformats.org/officeDocument/2006/relationships/hyperlink" Target="https://en.wikipedia.org/wiki/Elk_County,_Pennsylvania" TargetMode="External"/><Relationship Id="rId101" Type="http://schemas.openxmlformats.org/officeDocument/2006/relationships/hyperlink" Target="https://en.wikipedia.org/wiki/Northumberland_County,_Pennsylvania" TargetMode="External"/><Relationship Id="rId4" Type="http://schemas.openxmlformats.org/officeDocument/2006/relationships/hyperlink" Target="https://en.wikipedia.org/wiki/Lehigh_County,_Pennsylvania" TargetMode="External"/><Relationship Id="rId9" Type="http://schemas.openxmlformats.org/officeDocument/2006/relationships/hyperlink" Target="https://en.wikipedia.org/wiki/Beaver_Falls,_Pennsylvania" TargetMode="External"/><Relationship Id="rId13" Type="http://schemas.openxmlformats.org/officeDocument/2006/relationships/hyperlink" Target="https://en.wikipedia.org/wiki/Northampton_County,_Pennsylvania" TargetMode="External"/><Relationship Id="rId18" Type="http://schemas.openxmlformats.org/officeDocument/2006/relationships/hyperlink" Target="https://en.wikipedia.org/wiki/Carbondale,_Pennsylvania" TargetMode="External"/><Relationship Id="rId39" Type="http://schemas.openxmlformats.org/officeDocument/2006/relationships/hyperlink" Target="https://en.wikipedia.org/wiki/Mercer_County,_Pennsylvania" TargetMode="External"/><Relationship Id="rId109" Type="http://schemas.openxmlformats.org/officeDocument/2006/relationships/hyperlink" Target="https://en.wikipedia.org/wiki/Washington_County,_Pennsylvania" TargetMode="External"/><Relationship Id="rId34" Type="http://schemas.openxmlformats.org/officeDocument/2006/relationships/hyperlink" Target="https://en.wikipedia.org/wiki/Easton,_Pennsylvania" TargetMode="External"/><Relationship Id="rId50" Type="http://schemas.openxmlformats.org/officeDocument/2006/relationships/hyperlink" Target="https://en.wikipedia.org/wiki/Jeannette,_Pennsylvania" TargetMode="External"/><Relationship Id="rId55" Type="http://schemas.openxmlformats.org/officeDocument/2006/relationships/hyperlink" Target="https://en.wikipedia.org/wiki/Lancaster_County,_Pennsylvania" TargetMode="External"/><Relationship Id="rId76" Type="http://schemas.openxmlformats.org/officeDocument/2006/relationships/hyperlink" Target="https://en.wikipedia.org/wiki/New_Kensington,_Pennsylvania" TargetMode="External"/><Relationship Id="rId97" Type="http://schemas.openxmlformats.org/officeDocument/2006/relationships/hyperlink" Target="https://en.wikipedia.org/wiki/Mercer_County,_Pennsylvania" TargetMode="External"/><Relationship Id="rId104" Type="http://schemas.openxmlformats.org/officeDocument/2006/relationships/hyperlink" Target="https://en.wikipedia.org/wiki/Uniontown,_Pennsylvania" TargetMode="External"/><Relationship Id="rId7" Type="http://schemas.openxmlformats.org/officeDocument/2006/relationships/hyperlink" Target="https://en.wikipedia.org/wiki/Arnold,_Pennsylvania" TargetMode="External"/><Relationship Id="rId71" Type="http://schemas.openxmlformats.org/officeDocument/2006/relationships/hyperlink" Target="https://en.wikipedia.org/wiki/Washington_County,_Pennsylvania" TargetMode="External"/><Relationship Id="rId92" Type="http://schemas.openxmlformats.org/officeDocument/2006/relationships/hyperlink" Target="https://en.wikipedia.org/wiki/Scranton,_Pennsylvania" TargetMode="External"/><Relationship Id="rId2" Type="http://schemas.openxmlformats.org/officeDocument/2006/relationships/hyperlink" Target="https://en.wikipedia.org/wiki/Beaver_County,_Pennsylvania" TargetMode="External"/><Relationship Id="rId29" Type="http://schemas.openxmlformats.org/officeDocument/2006/relationships/hyperlink" Target="https://en.wikipedia.org/wiki/Erie_County,_Pennsylvania" TargetMode="External"/><Relationship Id="rId24" Type="http://schemas.openxmlformats.org/officeDocument/2006/relationships/hyperlink" Target="https://en.wikipedia.org/wiki/Coatesville,_Pennsylvania" TargetMode="External"/><Relationship Id="rId40" Type="http://schemas.openxmlformats.org/officeDocument/2006/relationships/hyperlink" Target="https://en.wikipedia.org/wiki/Franklin,_Pennsylvania" TargetMode="External"/><Relationship Id="rId45" Type="http://schemas.openxmlformats.org/officeDocument/2006/relationships/hyperlink" Target="https://en.wikipedia.org/wiki/Dauphin_County,_Pennsylvania" TargetMode="External"/><Relationship Id="rId66" Type="http://schemas.openxmlformats.org/officeDocument/2006/relationships/hyperlink" Target="https://en.wikipedia.org/wiki/Meadville,_Pennsylvania" TargetMode="External"/><Relationship Id="rId87" Type="http://schemas.openxmlformats.org/officeDocument/2006/relationships/hyperlink" Target="https://en.wikipedia.org/wiki/Luzerne_County,_Pennsylvania" TargetMode="External"/><Relationship Id="rId110" Type="http://schemas.openxmlformats.org/officeDocument/2006/relationships/hyperlink" Target="https://en.wikipedia.org/wiki/Wilkes-Barre,_Pennsylvania" TargetMode="External"/><Relationship Id="rId115" Type="http://schemas.openxmlformats.org/officeDocument/2006/relationships/hyperlink" Target="https://en.wikipedia.org/wiki/York_County,_Pennsylvania" TargetMode="External"/><Relationship Id="rId61" Type="http://schemas.openxmlformats.org/officeDocument/2006/relationships/hyperlink" Target="https://en.wikipedia.org/wiki/Clinton_County,_Pennsylvania" TargetMode="External"/><Relationship Id="rId82" Type="http://schemas.openxmlformats.org/officeDocument/2006/relationships/hyperlink" Target="https://en.wikipedia.org/wiki/Philadelphia" TargetMode="External"/><Relationship Id="rId19" Type="http://schemas.openxmlformats.org/officeDocument/2006/relationships/hyperlink" Target="https://en.wikipedia.org/wiki/Lackawanna_County,_Pennsylvania" TargetMode="External"/><Relationship Id="rId14" Type="http://schemas.openxmlformats.org/officeDocument/2006/relationships/hyperlink" Target="https://en.wikipedia.org/wiki/Bradford,_Pennsylvania" TargetMode="External"/><Relationship Id="rId30" Type="http://schemas.openxmlformats.org/officeDocument/2006/relationships/hyperlink" Target="https://en.wikipedia.org/wiki/DuBois,_Pennsylvania" TargetMode="External"/><Relationship Id="rId35" Type="http://schemas.openxmlformats.org/officeDocument/2006/relationships/hyperlink" Target="https://en.wikipedia.org/wiki/Northampton_County,_Pennsylvania" TargetMode="External"/><Relationship Id="rId56" Type="http://schemas.openxmlformats.org/officeDocument/2006/relationships/hyperlink" Target="https://en.wikipedia.org/wiki/Latrobe,_Pennsylvania" TargetMode="External"/><Relationship Id="rId77" Type="http://schemas.openxmlformats.org/officeDocument/2006/relationships/hyperlink" Target="https://en.wikipedia.org/wiki/Westmoreland_County,_Pennsylvania" TargetMode="External"/><Relationship Id="rId100" Type="http://schemas.openxmlformats.org/officeDocument/2006/relationships/hyperlink" Target="https://en.wikipedia.org/wiki/Sunbury,_Pennsylvania" TargetMode="External"/><Relationship Id="rId105" Type="http://schemas.openxmlformats.org/officeDocument/2006/relationships/hyperlink" Target="https://en.wikipedia.org/wiki/Fayette_County,_Pennsylvania" TargetMode="External"/><Relationship Id="rId8" Type="http://schemas.openxmlformats.org/officeDocument/2006/relationships/hyperlink" Target="https://en.wikipedia.org/wiki/Westmoreland_County,_Pennsylvania" TargetMode="External"/><Relationship Id="rId51" Type="http://schemas.openxmlformats.org/officeDocument/2006/relationships/hyperlink" Target="https://en.wikipedia.org/wiki/Westmoreland_County,_Pennsylvania" TargetMode="External"/><Relationship Id="rId72" Type="http://schemas.openxmlformats.org/officeDocument/2006/relationships/hyperlink" Target="https://en.wikipedia.org/wiki/Nanticoke,_Pennsylvania" TargetMode="External"/><Relationship Id="rId93" Type="http://schemas.openxmlformats.org/officeDocument/2006/relationships/hyperlink" Target="https://en.wikipedia.org/wiki/Lackawanna_County,_Pennsylvania" TargetMode="External"/><Relationship Id="rId98" Type="http://schemas.openxmlformats.org/officeDocument/2006/relationships/hyperlink" Target="https://en.wikipedia.org/wiki/St._Marys,_Pennsylvania" TargetMode="External"/><Relationship Id="rId3" Type="http://schemas.openxmlformats.org/officeDocument/2006/relationships/hyperlink" Target="https://en.wikipedia.org/wiki/Allentown,_Pennsylvania" TargetMode="External"/><Relationship Id="rId25" Type="http://schemas.openxmlformats.org/officeDocument/2006/relationships/hyperlink" Target="https://en.wikipedia.org/wiki/Chester_County,_Pennsylvania" TargetMode="External"/><Relationship Id="rId46" Type="http://schemas.openxmlformats.org/officeDocument/2006/relationships/hyperlink" Target="https://en.wikipedia.org/wiki/Hazleton,_Pennsylvania" TargetMode="External"/><Relationship Id="rId67" Type="http://schemas.openxmlformats.org/officeDocument/2006/relationships/hyperlink" Target="https://en.wikipedia.org/wiki/Crawford_County,_Pennsylvania" TargetMode="External"/><Relationship Id="rId20" Type="http://schemas.openxmlformats.org/officeDocument/2006/relationships/hyperlink" Target="https://en.wikipedia.org/wiki/Chester,_Pennsylvania" TargetMode="External"/><Relationship Id="rId41" Type="http://schemas.openxmlformats.org/officeDocument/2006/relationships/hyperlink" Target="https://en.wikipedia.org/wiki/Venango_County,_Pennsylvania" TargetMode="External"/><Relationship Id="rId62" Type="http://schemas.openxmlformats.org/officeDocument/2006/relationships/hyperlink" Target="https://en.wikipedia.org/wiki/Lower_Burrell,_Pennsylvania" TargetMode="External"/><Relationship Id="rId83" Type="http://schemas.openxmlformats.org/officeDocument/2006/relationships/hyperlink" Target="https://en.wikipedia.org/wiki/Philadelphia_County,_Pennsylvania" TargetMode="External"/><Relationship Id="rId88" Type="http://schemas.openxmlformats.org/officeDocument/2006/relationships/hyperlink" Target="https://en.wikipedia.org/wiki/Pottsville,_Pennsylvania" TargetMode="External"/><Relationship Id="rId111" Type="http://schemas.openxmlformats.org/officeDocument/2006/relationships/hyperlink" Target="https://en.wikipedia.org/wiki/Luzerne_County,_Pennsylvania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EA873-38EB-45E4-A774-0498F70D58E5}">
  <dimension ref="A1"/>
  <sheetViews>
    <sheetView workbookViewId="0"/>
  </sheetViews>
  <sheetFormatPr defaultRowHeight="15" x14ac:dyDescent="0.25"/>
  <cols>
    <col min="1" max="1" width="127.7109375" customWidth="1"/>
  </cols>
  <sheetData>
    <row r="1" spans="1:1" ht="114" customHeight="1" x14ac:dyDescent="0.25">
      <c r="A1" t="s">
        <v>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DBC69-8CC4-4D50-A0D9-6B73DBC2524A}">
  <dimension ref="A1:M14"/>
  <sheetViews>
    <sheetView tabSelected="1" zoomScale="205" zoomScaleNormal="205" workbookViewId="0">
      <selection activeCell="E11" sqref="E11"/>
    </sheetView>
  </sheetViews>
  <sheetFormatPr defaultRowHeight="15" x14ac:dyDescent="0.25"/>
  <cols>
    <col min="2" max="2" width="6.5703125" customWidth="1"/>
    <col min="4" max="7" width="12.42578125" customWidth="1"/>
    <col min="8" max="8" width="12.5703125" customWidth="1"/>
  </cols>
  <sheetData>
    <row r="1" spans="1:13" x14ac:dyDescent="0.25">
      <c r="B1" t="s">
        <v>238</v>
      </c>
      <c r="D1" t="s">
        <v>221</v>
      </c>
      <c r="E1" t="s">
        <v>222</v>
      </c>
      <c r="F1" t="s">
        <v>218</v>
      </c>
      <c r="G1" t="s">
        <v>219</v>
      </c>
      <c r="H1" t="s">
        <v>220</v>
      </c>
      <c r="I1" t="s">
        <v>228</v>
      </c>
    </row>
    <row r="3" spans="1:13" x14ac:dyDescent="0.25">
      <c r="A3" t="s">
        <v>212</v>
      </c>
      <c r="C3">
        <f>SUM(I3:AA3)</f>
        <v>0</v>
      </c>
      <c r="D3" s="14"/>
      <c r="E3" s="14"/>
      <c r="F3" s="14"/>
      <c r="G3" s="14"/>
      <c r="H3" s="14"/>
      <c r="I3" t="str">
        <f>IF(ISBLANK(D3),"",IF(D3=I$8,1,-1))</f>
        <v/>
      </c>
      <c r="J3" t="str">
        <f>IF(ISBLANK(E3),"",IF(E3=J$8,1,-1))</f>
        <v/>
      </c>
      <c r="K3" t="str">
        <f t="shared" ref="K3:M7" si="0">IF(ISBLANK(F3),"",IF(F3=K$8,1,-1))</f>
        <v/>
      </c>
      <c r="L3" t="str">
        <f t="shared" si="0"/>
        <v/>
      </c>
      <c r="M3" t="str">
        <f t="shared" si="0"/>
        <v/>
      </c>
    </row>
    <row r="4" spans="1:13" x14ac:dyDescent="0.25">
      <c r="A4" t="s">
        <v>213</v>
      </c>
      <c r="C4">
        <f t="shared" ref="C4:C7" si="1">SUM(I4:AA4)</f>
        <v>0</v>
      </c>
      <c r="D4" s="14"/>
      <c r="E4" s="14"/>
      <c r="F4" s="14"/>
      <c r="G4" s="14"/>
      <c r="H4" s="14"/>
      <c r="I4" t="str">
        <f t="shared" ref="I4:I7" si="2">IF(ISBLANK(D4),"",IF(D4=I$8,1,-1))</f>
        <v/>
      </c>
      <c r="J4" t="str">
        <f>IF(ISBLANK(E4),"",IF(E4=J$8,1,-1))</f>
        <v/>
      </c>
      <c r="K4" t="str">
        <f t="shared" si="0"/>
        <v/>
      </c>
      <c r="L4" t="str">
        <f t="shared" si="0"/>
        <v/>
      </c>
      <c r="M4" t="str">
        <f t="shared" si="0"/>
        <v/>
      </c>
    </row>
    <row r="5" spans="1:13" x14ac:dyDescent="0.25">
      <c r="A5" t="s">
        <v>214</v>
      </c>
      <c r="C5">
        <f t="shared" si="1"/>
        <v>0</v>
      </c>
      <c r="D5" s="14"/>
      <c r="E5" s="14"/>
      <c r="F5" s="14"/>
      <c r="G5" s="14"/>
      <c r="H5" s="14"/>
      <c r="I5" t="str">
        <f t="shared" si="2"/>
        <v/>
      </c>
      <c r="J5" t="str">
        <f>IF(ISBLANK(E5),"",IF(E5=J$8,1,-1))</f>
        <v/>
      </c>
      <c r="K5" t="str">
        <f t="shared" si="0"/>
        <v/>
      </c>
      <c r="L5" t="str">
        <f t="shared" si="0"/>
        <v/>
      </c>
      <c r="M5" t="str">
        <f t="shared" si="0"/>
        <v/>
      </c>
    </row>
    <row r="6" spans="1:13" x14ac:dyDescent="0.25">
      <c r="A6" t="s">
        <v>215</v>
      </c>
      <c r="C6">
        <f t="shared" si="1"/>
        <v>0</v>
      </c>
      <c r="D6" s="14"/>
      <c r="E6" s="14"/>
      <c r="F6" s="14"/>
      <c r="G6" s="14"/>
      <c r="H6" s="14"/>
      <c r="I6" t="str">
        <f t="shared" si="2"/>
        <v/>
      </c>
      <c r="J6" t="str">
        <f>IF(ISBLANK(E6),"",IF(E6=J$8,1,-1))</f>
        <v/>
      </c>
      <c r="K6" t="str">
        <f t="shared" si="0"/>
        <v/>
      </c>
      <c r="L6" t="str">
        <f t="shared" si="0"/>
        <v/>
      </c>
      <c r="M6" t="str">
        <f t="shared" si="0"/>
        <v/>
      </c>
    </row>
    <row r="7" spans="1:13" x14ac:dyDescent="0.25">
      <c r="A7" t="s">
        <v>227</v>
      </c>
      <c r="C7">
        <f t="shared" si="1"/>
        <v>0</v>
      </c>
      <c r="D7" s="14"/>
      <c r="E7" s="14"/>
      <c r="F7" s="14"/>
      <c r="G7" s="14"/>
      <c r="H7" s="14"/>
      <c r="I7" t="str">
        <f t="shared" si="2"/>
        <v/>
      </c>
      <c r="J7" t="str">
        <f>IF(ISBLANK(E7),"",IF(E7=J$8,1,-1))</f>
        <v/>
      </c>
      <c r="K7" t="str">
        <f t="shared" si="0"/>
        <v/>
      </c>
      <c r="L7" t="str">
        <f t="shared" si="0"/>
        <v/>
      </c>
      <c r="M7" t="str">
        <f t="shared" si="0"/>
        <v/>
      </c>
    </row>
    <row r="8" spans="1:13" hidden="1" x14ac:dyDescent="0.25">
      <c r="I8" t="s">
        <v>65</v>
      </c>
      <c r="J8" t="s">
        <v>69</v>
      </c>
      <c r="K8" t="s">
        <v>111</v>
      </c>
      <c r="L8" t="s">
        <v>60</v>
      </c>
      <c r="M8" t="s">
        <v>85</v>
      </c>
    </row>
    <row r="11" spans="1:13" x14ac:dyDescent="0.25">
      <c r="A11" t="s">
        <v>230</v>
      </c>
      <c r="D11" t="s">
        <v>229</v>
      </c>
    </row>
    <row r="12" spans="1:13" x14ac:dyDescent="0.25">
      <c r="A12" t="s">
        <v>231</v>
      </c>
      <c r="D12" t="s">
        <v>233</v>
      </c>
    </row>
    <row r="13" spans="1:13" x14ac:dyDescent="0.25">
      <c r="A13" t="s">
        <v>234</v>
      </c>
      <c r="D13" t="s">
        <v>232</v>
      </c>
    </row>
    <row r="14" spans="1:13" x14ac:dyDescent="0.25">
      <c r="A14" t="s">
        <v>235</v>
      </c>
      <c r="D14" t="s">
        <v>236</v>
      </c>
    </row>
  </sheetData>
  <phoneticPr fontId="5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5AA5DA3-9770-42BB-BF03-6730ECD3EEE8}">
          <x14:formula1>
            <xm:f>Cities!$B$1:$B$59</xm:f>
          </x14:formula1>
          <xm:sqref>D3:H7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zoomScaleNormal="100" workbookViewId="0">
      <selection activeCell="I5" sqref="I5"/>
    </sheetView>
  </sheetViews>
  <sheetFormatPr defaultRowHeight="12" x14ac:dyDescent="0.2"/>
  <cols>
    <col min="1" max="1" width="4" style="8" customWidth="1"/>
    <col min="2" max="2" width="8.42578125" style="8" customWidth="1"/>
    <col min="3" max="3" width="12" style="8" hidden="1" customWidth="1"/>
    <col min="4" max="13" width="10.85546875" style="8" customWidth="1"/>
    <col min="14" max="16384" width="9.140625" style="8"/>
  </cols>
  <sheetData>
    <row r="1" spans="1:13" ht="22.5" customHeight="1" x14ac:dyDescent="0.2">
      <c r="G1" s="8" t="s">
        <v>216</v>
      </c>
      <c r="I1" s="8" t="s">
        <v>224</v>
      </c>
    </row>
    <row r="2" spans="1:13" x14ac:dyDescent="0.2">
      <c r="A2" s="8" t="s">
        <v>52</v>
      </c>
      <c r="C2" s="8" t="s">
        <v>65</v>
      </c>
      <c r="D2" s="8" t="s">
        <v>143</v>
      </c>
      <c r="E2" s="8" t="s">
        <v>144</v>
      </c>
      <c r="F2" s="8" t="s">
        <v>145</v>
      </c>
      <c r="G2" s="8" t="s">
        <v>146</v>
      </c>
      <c r="H2" s="8" t="s">
        <v>147</v>
      </c>
      <c r="I2" s="8" t="s">
        <v>148</v>
      </c>
      <c r="J2" s="8" t="s">
        <v>149</v>
      </c>
      <c r="K2" s="8" t="s">
        <v>150</v>
      </c>
      <c r="L2" s="8" t="s">
        <v>151</v>
      </c>
      <c r="M2" s="8" t="s">
        <v>152</v>
      </c>
    </row>
    <row r="3" spans="1:13" ht="15.75" customHeight="1" x14ac:dyDescent="0.2">
      <c r="A3" s="9" t="s">
        <v>0</v>
      </c>
      <c r="B3" s="13"/>
      <c r="C3" s="9">
        <f>COUNTIF(D3:M3, "Beaver Falls")</f>
        <v>0</v>
      </c>
      <c r="D3" s="10" t="str">
        <f>VLOOKUP('Formula Workbook'!W2,Cities!$A:$B,2,FALSE)</f>
        <v>Hazleton</v>
      </c>
      <c r="E3" s="10" t="str">
        <f>VLOOKUP('Formula Workbook'!X2,Cities!$A:$B,2,FALSE)</f>
        <v>Pittsburgh</v>
      </c>
      <c r="F3" s="10" t="str">
        <f>VLOOKUP('Formula Workbook'!Y2,Cities!$A:$B,2,FALSE)</f>
        <v>Altoona</v>
      </c>
      <c r="G3" s="10" t="str">
        <f>VLOOKUP('Formula Workbook'!Z2,Cities!$A:$B,2,FALSE)</f>
        <v>Bethlehem</v>
      </c>
      <c r="H3" s="10" t="str">
        <f>VLOOKUP('Formula Workbook'!AA2,Cities!$A:$B,2,FALSE)</f>
        <v>Duquesne</v>
      </c>
      <c r="I3" s="10" t="str">
        <f>VLOOKUP('Formula Workbook'!AB2,Cities!$A:$B,2,FALSE)</f>
        <v>Hazleton</v>
      </c>
      <c r="J3" s="10" t="str">
        <f>VLOOKUP('Formula Workbook'!AC2,Cities!$A:$B,2,FALSE)</f>
        <v>Chester</v>
      </c>
      <c r="K3" s="10" t="str">
        <f>VLOOKUP('Formula Workbook'!AD2,Cities!$A:$B,2,FALSE)</f>
        <v>Butler</v>
      </c>
      <c r="L3" s="10" t="str">
        <f>VLOOKUP('Formula Workbook'!AE2,Cities!$A:$B,2,FALSE)</f>
        <v>DuBois</v>
      </c>
      <c r="M3" s="10" t="str">
        <f>VLOOKUP('Formula Workbook'!AF2,Cities!$A:$B,2,FALSE)</f>
        <v>Allentown</v>
      </c>
    </row>
    <row r="4" spans="1:13" ht="15.75" customHeight="1" x14ac:dyDescent="0.2">
      <c r="A4" s="9" t="s">
        <v>1</v>
      </c>
      <c r="B4" s="11" t="s">
        <v>225</v>
      </c>
      <c r="C4" s="9">
        <f t="shared" ref="C4:C28" si="0">COUNTIF(D4:M4, "Beaver Falls")</f>
        <v>1</v>
      </c>
      <c r="D4" s="10" t="str">
        <f>VLOOKUP('Formula Workbook'!W3,Cities!$A:$B,2,FALSE)</f>
        <v>Erie</v>
      </c>
      <c r="E4" s="10" t="str">
        <f>VLOOKUP('Formula Workbook'!X3,Cities!$A:$B,2,FALSE)</f>
        <v>Butler</v>
      </c>
      <c r="F4" s="10" t="str">
        <f>VLOOKUP('Formula Workbook'!Y3,Cities!$A:$B,2,FALSE)</f>
        <v>Wilkes-Barre</v>
      </c>
      <c r="G4" s="10" t="str">
        <f>VLOOKUP('Formula Workbook'!Z3,Cities!$A:$B,2,FALSE)</f>
        <v>Harrisburg</v>
      </c>
      <c r="H4" s="10" t="str">
        <f>VLOOKUP('Formula Workbook'!AA3,Cities!$A:$B,2,FALSE)</f>
        <v>Altoona</v>
      </c>
      <c r="I4" s="10" t="str">
        <f>VLOOKUP('Formula Workbook'!AB3,Cities!$A:$B,2,FALSE)</f>
        <v>Erie</v>
      </c>
      <c r="J4" s="10" t="str">
        <f>VLOOKUP('Formula Workbook'!AC3,Cities!$A:$B,2,FALSE)</f>
        <v>Reading</v>
      </c>
      <c r="K4" s="10" t="str">
        <f>VLOOKUP('Formula Workbook'!AD3,Cities!$A:$B,2,FALSE)</f>
        <v>Jeannette</v>
      </c>
      <c r="L4" s="10" t="str">
        <f>VLOOKUP('Formula Workbook'!AE3,Cities!$A:$B,2,FALSE)</f>
        <v>Clairton</v>
      </c>
      <c r="M4" s="10" t="str">
        <f>VLOOKUP('Formula Workbook'!AF3,Cities!$A:$B,2,FALSE)</f>
        <v>Beaver Falls</v>
      </c>
    </row>
    <row r="5" spans="1:13" ht="15.75" customHeight="1" x14ac:dyDescent="0.2">
      <c r="A5" s="9" t="s">
        <v>2</v>
      </c>
      <c r="B5" s="11" t="s">
        <v>225</v>
      </c>
      <c r="C5" s="9">
        <f t="shared" si="0"/>
        <v>1</v>
      </c>
      <c r="D5" s="10" t="str">
        <f>VLOOKUP('Formula Workbook'!W4,Cities!$A:$B,2,FALSE)</f>
        <v>Franklin</v>
      </c>
      <c r="E5" s="10" t="str">
        <f>VLOOKUP('Formula Workbook'!X4,Cities!$A:$B,2,FALSE)</f>
        <v>Chester</v>
      </c>
      <c r="F5" s="10" t="str">
        <f>VLOOKUP('Formula Workbook'!Y4,Cities!$A:$B,2,FALSE)</f>
        <v>Beaver Falls</v>
      </c>
      <c r="G5" s="10" t="str">
        <f>VLOOKUP('Formula Workbook'!Z4,Cities!$A:$B,2,FALSE)</f>
        <v>Franklin</v>
      </c>
      <c r="H5" s="10" t="str">
        <f>VLOOKUP('Formula Workbook'!AA4,Cities!$A:$B,2,FALSE)</f>
        <v>Allentown</v>
      </c>
      <c r="I5" s="10" t="str">
        <f>VLOOKUP('Formula Workbook'!AB4,Cities!$A:$B,2,FALSE)</f>
        <v>Hazleton</v>
      </c>
      <c r="J5" s="10" t="str">
        <f>VLOOKUP('Formula Workbook'!AC4,Cities!$A:$B,2,FALSE)</f>
        <v>Franklin</v>
      </c>
      <c r="K5" s="10" t="str">
        <f>VLOOKUP('Formula Workbook'!AD4,Cities!$A:$B,2,FALSE)</f>
        <v>Harrisburg</v>
      </c>
      <c r="L5" s="10" t="str">
        <f>VLOOKUP('Formula Workbook'!AE4,Cities!$A:$B,2,FALSE)</f>
        <v>Pittsburgh</v>
      </c>
      <c r="M5" s="10" t="str">
        <f>VLOOKUP('Formula Workbook'!AF4,Cities!$A:$B,2,FALSE)</f>
        <v>Corry</v>
      </c>
    </row>
    <row r="6" spans="1:13" ht="15.75" customHeight="1" x14ac:dyDescent="0.2">
      <c r="A6" s="9" t="s">
        <v>3</v>
      </c>
      <c r="B6" s="11" t="s">
        <v>225</v>
      </c>
      <c r="C6" s="9">
        <f t="shared" si="0"/>
        <v>1</v>
      </c>
      <c r="D6" s="10" t="str">
        <f>VLOOKUP('Formula Workbook'!W5,Cities!$A:$B,2,FALSE)</f>
        <v>Aliquippa</v>
      </c>
      <c r="E6" s="10" t="str">
        <f>VLOOKUP('Formula Workbook'!X5,Cities!$A:$B,2,FALSE)</f>
        <v>Harrisburg</v>
      </c>
      <c r="F6" s="10" t="str">
        <f>VLOOKUP('Formula Workbook'!Y5,Cities!$A:$B,2,FALSE)</f>
        <v>Beaver Falls</v>
      </c>
      <c r="G6" s="10" t="str">
        <f>VLOOKUP('Formula Workbook'!Z5,Cities!$A:$B,2,FALSE)</f>
        <v>DuBois</v>
      </c>
      <c r="H6" s="10" t="str">
        <f>VLOOKUP('Formula Workbook'!AA5,Cities!$A:$B,2,FALSE)</f>
        <v>Bethlehem</v>
      </c>
      <c r="I6" s="10" t="str">
        <f>VLOOKUP('Formula Workbook'!AB5,Cities!$A:$B,2,FALSE)</f>
        <v>Bethlehem</v>
      </c>
      <c r="J6" s="10" t="str">
        <f>VLOOKUP('Formula Workbook'!AC5,Cities!$A:$B,2,FALSE)</f>
        <v>Philadelphia</v>
      </c>
      <c r="K6" s="10" t="str">
        <f>VLOOKUP('Formula Workbook'!AD5,Cities!$A:$B,2,FALSE)</f>
        <v>Butler</v>
      </c>
      <c r="L6" s="10" t="str">
        <f>VLOOKUP('Formula Workbook'!AE5,Cities!$A:$B,2,FALSE)</f>
        <v>Bradford</v>
      </c>
      <c r="M6" s="10" t="str">
        <f>VLOOKUP('Formula Workbook'!AF5,Cities!$A:$B,2,FALSE)</f>
        <v>Wilkes-Barre</v>
      </c>
    </row>
    <row r="7" spans="1:13" ht="15.75" customHeight="1" x14ac:dyDescent="0.2">
      <c r="A7" s="9" t="s">
        <v>4</v>
      </c>
      <c r="B7" s="11" t="s">
        <v>225</v>
      </c>
      <c r="C7" s="9">
        <f t="shared" si="0"/>
        <v>1</v>
      </c>
      <c r="D7" s="10" t="str">
        <f>VLOOKUP('Formula Workbook'!W6,Cities!$A:$B,2,FALSE)</f>
        <v>Wilkes-Barre</v>
      </c>
      <c r="E7" s="10" t="str">
        <f>VLOOKUP('Formula Workbook'!X6,Cities!$A:$B,2,FALSE)</f>
        <v>Bethlehem</v>
      </c>
      <c r="F7" s="10" t="str">
        <f>VLOOKUP('Formula Workbook'!Y6,Cities!$A:$B,2,FALSE)</f>
        <v>Aliquippa</v>
      </c>
      <c r="G7" s="10" t="str">
        <f>VLOOKUP('Formula Workbook'!Z6,Cities!$A:$B,2,FALSE)</f>
        <v>Beaver Falls</v>
      </c>
      <c r="H7" s="10" t="str">
        <f>VLOOKUP('Formula Workbook'!AA6,Cities!$A:$B,2,FALSE)</f>
        <v>DuBois</v>
      </c>
      <c r="I7" s="10" t="str">
        <f>VLOOKUP('Formula Workbook'!AB6,Cities!$A:$B,2,FALSE)</f>
        <v>Washington</v>
      </c>
      <c r="J7" s="10" t="str">
        <f>VLOOKUP('Formula Workbook'!AC6,Cities!$A:$B,2,FALSE)</f>
        <v>Erie</v>
      </c>
      <c r="K7" s="10" t="str">
        <f>VLOOKUP('Formula Workbook'!AD6,Cities!$A:$B,2,FALSE)</f>
        <v>Reading</v>
      </c>
      <c r="L7" s="10" t="str">
        <f>VLOOKUP('Formula Workbook'!AE6,Cities!$A:$B,2,FALSE)</f>
        <v>Allentown</v>
      </c>
      <c r="M7" s="10" t="str">
        <f>VLOOKUP('Formula Workbook'!AF6,Cities!$A:$B,2,FALSE)</f>
        <v>Reading</v>
      </c>
    </row>
    <row r="8" spans="1:13" ht="15.75" customHeight="1" x14ac:dyDescent="0.2">
      <c r="A8" s="9" t="s">
        <v>5</v>
      </c>
      <c r="B8" s="13"/>
      <c r="C8" s="9">
        <f t="shared" si="0"/>
        <v>0</v>
      </c>
      <c r="D8" s="10" t="str">
        <f>VLOOKUP('Formula Workbook'!W7,Cities!$A:$B,2,FALSE)</f>
        <v>Butler</v>
      </c>
      <c r="E8" s="10" t="str">
        <f>VLOOKUP('Formula Workbook'!X7,Cities!$A:$B,2,FALSE)</f>
        <v>Jeannette</v>
      </c>
      <c r="F8" s="10" t="str">
        <f>VLOOKUP('Formula Workbook'!Y7,Cities!$A:$B,2,FALSE)</f>
        <v>Easton</v>
      </c>
      <c r="G8" s="10" t="str">
        <f>VLOOKUP('Formula Workbook'!Z7,Cities!$A:$B,2,FALSE)</f>
        <v>Bethlehem</v>
      </c>
      <c r="H8" s="10" t="str">
        <f>VLOOKUP('Formula Workbook'!AA7,Cities!$A:$B,2,FALSE)</f>
        <v>Reading</v>
      </c>
      <c r="I8" s="10" t="str">
        <f>VLOOKUP('Formula Workbook'!AB7,Cities!$A:$B,2,FALSE)</f>
        <v>Washington</v>
      </c>
      <c r="J8" s="10" t="str">
        <f>VLOOKUP('Formula Workbook'!AC7,Cities!$A:$B,2,FALSE)</f>
        <v>Harrisburg</v>
      </c>
      <c r="K8" s="10" t="str">
        <f>VLOOKUP('Formula Workbook'!AD7,Cities!$A:$B,2,FALSE)</f>
        <v>Franklin</v>
      </c>
      <c r="L8" s="10" t="str">
        <f>VLOOKUP('Formula Workbook'!AE7,Cities!$A:$B,2,FALSE)</f>
        <v>Erie</v>
      </c>
      <c r="M8" s="10" t="str">
        <f>VLOOKUP('Formula Workbook'!AF7,Cities!$A:$B,2,FALSE)</f>
        <v>Corry</v>
      </c>
    </row>
    <row r="9" spans="1:13" ht="15.75" customHeight="1" x14ac:dyDescent="0.2">
      <c r="A9" s="9" t="s">
        <v>6</v>
      </c>
      <c r="B9" s="13"/>
      <c r="C9" s="9">
        <f t="shared" si="0"/>
        <v>0</v>
      </c>
      <c r="D9" s="10" t="str">
        <f>VLOOKUP('Formula Workbook'!W8,Cities!$A:$B,2,FALSE)</f>
        <v>Erie</v>
      </c>
      <c r="E9" s="10" t="str">
        <f>VLOOKUP('Formula Workbook'!X8,Cities!$A:$B,2,FALSE)</f>
        <v>DuBois</v>
      </c>
      <c r="F9" s="10" t="str">
        <f>VLOOKUP('Formula Workbook'!Y8,Cities!$A:$B,2,FALSE)</f>
        <v>Allentown</v>
      </c>
      <c r="G9" s="10" t="str">
        <f>VLOOKUP('Formula Workbook'!Z8,Cities!$A:$B,2,FALSE)</f>
        <v>Harrisburg</v>
      </c>
      <c r="H9" s="10" t="str">
        <f>VLOOKUP('Formula Workbook'!AA8,Cities!$A:$B,2,FALSE)</f>
        <v>Wilkes-Barre</v>
      </c>
      <c r="I9" s="10" t="str">
        <f>VLOOKUP('Formula Workbook'!AB8,Cities!$A:$B,2,FALSE)</f>
        <v>Clairton</v>
      </c>
      <c r="J9" s="10" t="str">
        <f>VLOOKUP('Formula Workbook'!AC8,Cities!$A:$B,2,FALSE)</f>
        <v>Connellsville</v>
      </c>
      <c r="K9" s="10" t="str">
        <f>VLOOKUP('Formula Workbook'!AD8,Cities!$A:$B,2,FALSE)</f>
        <v>Easton</v>
      </c>
      <c r="L9" s="10" t="str">
        <f>VLOOKUP('Formula Workbook'!AE8,Cities!$A:$B,2,FALSE)</f>
        <v>Greensburg</v>
      </c>
      <c r="M9" s="10" t="str">
        <f>VLOOKUP('Formula Workbook'!AF8,Cities!$A:$B,2,FALSE)</f>
        <v>Connellsville</v>
      </c>
    </row>
    <row r="10" spans="1:13" ht="15.75" customHeight="1" x14ac:dyDescent="0.2">
      <c r="A10" s="9" t="s">
        <v>7</v>
      </c>
      <c r="B10" s="13"/>
      <c r="C10" s="9">
        <f t="shared" si="0"/>
        <v>0</v>
      </c>
      <c r="D10" s="10" t="str">
        <f>VLOOKUP('Formula Workbook'!W9,Cities!$A:$B,2,FALSE)</f>
        <v>Washington</v>
      </c>
      <c r="E10" s="10" t="str">
        <f>VLOOKUP('Formula Workbook'!X9,Cities!$A:$B,2,FALSE)</f>
        <v>Greensburg</v>
      </c>
      <c r="F10" s="10" t="str">
        <f>VLOOKUP('Formula Workbook'!Y9,Cities!$A:$B,2,FALSE)</f>
        <v>Hazleton</v>
      </c>
      <c r="G10" s="10" t="str">
        <f>VLOOKUP('Formula Workbook'!Z9,Cities!$A:$B,2,FALSE)</f>
        <v>Reading</v>
      </c>
      <c r="H10" s="10" t="str">
        <f>VLOOKUP('Formula Workbook'!AA9,Cities!$A:$B,2,FALSE)</f>
        <v>Chester</v>
      </c>
      <c r="I10" s="10" t="str">
        <f>VLOOKUP('Formula Workbook'!AB9,Cities!$A:$B,2,FALSE)</f>
        <v>Harrisburg</v>
      </c>
      <c r="J10" s="10" t="str">
        <f>VLOOKUP('Formula Workbook'!AC9,Cities!$A:$B,2,FALSE)</f>
        <v>Franklin</v>
      </c>
      <c r="K10" s="10" t="str">
        <f>VLOOKUP('Formula Workbook'!AD9,Cities!$A:$B,2,FALSE)</f>
        <v>Hazleton</v>
      </c>
      <c r="L10" s="10" t="str">
        <f>VLOOKUP('Formula Workbook'!AE9,Cities!$A:$B,2,FALSE)</f>
        <v>Aliquippa</v>
      </c>
      <c r="M10" s="10" t="str">
        <f>VLOOKUP('Formula Workbook'!AF9,Cities!$A:$B,2,FALSE)</f>
        <v>Harrisburg</v>
      </c>
    </row>
    <row r="11" spans="1:13" ht="15.75" customHeight="1" x14ac:dyDescent="0.2">
      <c r="A11" s="9" t="s">
        <v>8</v>
      </c>
      <c r="B11" s="11" t="s">
        <v>225</v>
      </c>
      <c r="C11" s="9">
        <f t="shared" si="0"/>
        <v>1</v>
      </c>
      <c r="D11" s="10" t="str">
        <f>VLOOKUP('Formula Workbook'!W10,Cities!$A:$B,2,FALSE)</f>
        <v>Hermitage</v>
      </c>
      <c r="E11" s="10" t="str">
        <f>VLOOKUP('Formula Workbook'!X10,Cities!$A:$B,2,FALSE)</f>
        <v>Hazleton</v>
      </c>
      <c r="F11" s="10" t="str">
        <f>VLOOKUP('Formula Workbook'!Y10,Cities!$A:$B,2,FALSE)</f>
        <v>Bethlehem</v>
      </c>
      <c r="G11" s="10" t="str">
        <f>VLOOKUP('Formula Workbook'!Z10,Cities!$A:$B,2,FALSE)</f>
        <v>Harrisburg</v>
      </c>
      <c r="H11" s="10" t="str">
        <f>VLOOKUP('Formula Workbook'!AA10,Cities!$A:$B,2,FALSE)</f>
        <v>Clairton</v>
      </c>
      <c r="I11" s="10" t="str">
        <f>VLOOKUP('Formula Workbook'!AB10,Cities!$A:$B,2,FALSE)</f>
        <v>Beaver Falls</v>
      </c>
      <c r="J11" s="10" t="str">
        <f>VLOOKUP('Formula Workbook'!AC10,Cities!$A:$B,2,FALSE)</f>
        <v>Washington</v>
      </c>
      <c r="K11" s="10" t="str">
        <f>VLOOKUP('Formula Workbook'!AD10,Cities!$A:$B,2,FALSE)</f>
        <v>Washington</v>
      </c>
      <c r="L11" s="10" t="str">
        <f>VLOOKUP('Formula Workbook'!AE10,Cities!$A:$B,2,FALSE)</f>
        <v>Greensburg</v>
      </c>
      <c r="M11" s="10" t="str">
        <f>VLOOKUP('Formula Workbook'!AF10,Cities!$A:$B,2,FALSE)</f>
        <v>Aliquippa</v>
      </c>
    </row>
    <row r="12" spans="1:13" ht="15.75" customHeight="1" x14ac:dyDescent="0.2">
      <c r="A12" s="9" t="s">
        <v>9</v>
      </c>
      <c r="B12" s="13"/>
      <c r="C12" s="9">
        <f t="shared" si="0"/>
        <v>0</v>
      </c>
      <c r="D12" s="10" t="str">
        <f>VLOOKUP('Formula Workbook'!W11,Cities!$A:$B,2,FALSE)</f>
        <v>Greensburg</v>
      </c>
      <c r="E12" s="10" t="str">
        <f>VLOOKUP('Formula Workbook'!X11,Cities!$A:$B,2,FALSE)</f>
        <v>Clairton</v>
      </c>
      <c r="F12" s="10" t="str">
        <f>VLOOKUP('Formula Workbook'!Y11,Cities!$A:$B,2,FALSE)</f>
        <v>Erie</v>
      </c>
      <c r="G12" s="10" t="str">
        <f>VLOOKUP('Formula Workbook'!Z11,Cities!$A:$B,2,FALSE)</f>
        <v>Harrisburg</v>
      </c>
      <c r="H12" s="10" t="str">
        <f>VLOOKUP('Formula Workbook'!AA11,Cities!$A:$B,2,FALSE)</f>
        <v>Connellsville</v>
      </c>
      <c r="I12" s="10" t="str">
        <f>VLOOKUP('Formula Workbook'!AB11,Cities!$A:$B,2,FALSE)</f>
        <v>Chester</v>
      </c>
      <c r="J12" s="10" t="str">
        <f>VLOOKUP('Formula Workbook'!AC11,Cities!$A:$B,2,FALSE)</f>
        <v>Easton</v>
      </c>
      <c r="K12" s="10" t="str">
        <f>VLOOKUP('Formula Workbook'!AD11,Cities!$A:$B,2,FALSE)</f>
        <v>Pittsburgh</v>
      </c>
      <c r="L12" s="10" t="str">
        <f>VLOOKUP('Formula Workbook'!AE11,Cities!$A:$B,2,FALSE)</f>
        <v>DuBois</v>
      </c>
      <c r="M12" s="10" t="str">
        <f>VLOOKUP('Formula Workbook'!AF11,Cities!$A:$B,2,FALSE)</f>
        <v>Bethlehem</v>
      </c>
    </row>
    <row r="13" spans="1:13" ht="15.75" customHeight="1" x14ac:dyDescent="0.2">
      <c r="A13" s="9" t="s">
        <v>10</v>
      </c>
      <c r="B13" s="13"/>
      <c r="C13" s="9">
        <f t="shared" si="0"/>
        <v>0</v>
      </c>
      <c r="D13" s="10" t="str">
        <f>VLOOKUP('Formula Workbook'!W12,Cities!$A:$B,2,FALSE)</f>
        <v>Washington</v>
      </c>
      <c r="E13" s="10" t="str">
        <f>VLOOKUP('Formula Workbook'!X12,Cities!$A:$B,2,FALSE)</f>
        <v>Connellsville</v>
      </c>
      <c r="F13" s="10" t="str">
        <f>VLOOKUP('Formula Workbook'!Y12,Cities!$A:$B,2,FALSE)</f>
        <v>Aliquippa</v>
      </c>
      <c r="G13" s="10" t="str">
        <f>VLOOKUP('Formula Workbook'!Z12,Cities!$A:$B,2,FALSE)</f>
        <v>Duquesne</v>
      </c>
      <c r="H13" s="10" t="str">
        <f>VLOOKUP('Formula Workbook'!AA12,Cities!$A:$B,2,FALSE)</f>
        <v>Aliquippa</v>
      </c>
      <c r="I13" s="10" t="str">
        <f>VLOOKUP('Formula Workbook'!AB12,Cities!$A:$B,2,FALSE)</f>
        <v>Easton</v>
      </c>
      <c r="J13" s="10" t="str">
        <f>VLOOKUP('Formula Workbook'!AC12,Cities!$A:$B,2,FALSE)</f>
        <v>Bradford</v>
      </c>
      <c r="K13" s="10" t="str">
        <f>VLOOKUP('Formula Workbook'!AD12,Cities!$A:$B,2,FALSE)</f>
        <v>Hermitage</v>
      </c>
      <c r="L13" s="10" t="str">
        <f>VLOOKUP('Formula Workbook'!AE12,Cities!$A:$B,2,FALSE)</f>
        <v>Washington</v>
      </c>
      <c r="M13" s="10" t="str">
        <f>VLOOKUP('Formula Workbook'!AF12,Cities!$A:$B,2,FALSE)</f>
        <v>Aliquippa</v>
      </c>
    </row>
    <row r="14" spans="1:13" ht="15.75" customHeight="1" x14ac:dyDescent="0.2">
      <c r="A14" s="9" t="s">
        <v>11</v>
      </c>
      <c r="B14" s="11" t="s">
        <v>225</v>
      </c>
      <c r="C14" s="9">
        <f t="shared" si="0"/>
        <v>3</v>
      </c>
      <c r="D14" s="10" t="str">
        <f>VLOOKUP('Formula Workbook'!W13,Cities!$A:$B,2,FALSE)</f>
        <v>Corry</v>
      </c>
      <c r="E14" s="10" t="str">
        <f>VLOOKUP('Formula Workbook'!X13,Cities!$A:$B,2,FALSE)</f>
        <v>Bethlehem</v>
      </c>
      <c r="F14" s="10" t="str">
        <f>VLOOKUP('Formula Workbook'!Y13,Cities!$A:$B,2,FALSE)</f>
        <v>Hermitage</v>
      </c>
      <c r="G14" s="10" t="str">
        <f>VLOOKUP('Formula Workbook'!Z13,Cities!$A:$B,2,FALSE)</f>
        <v>Aliquippa</v>
      </c>
      <c r="H14" s="10" t="str">
        <f>VLOOKUP('Formula Workbook'!AA13,Cities!$A:$B,2,FALSE)</f>
        <v>Wilkes-Barre</v>
      </c>
      <c r="I14" s="10" t="str">
        <f>VLOOKUP('Formula Workbook'!AB13,Cities!$A:$B,2,FALSE)</f>
        <v>Aliquippa</v>
      </c>
      <c r="J14" s="10" t="str">
        <f>VLOOKUP('Formula Workbook'!AC13,Cities!$A:$B,2,FALSE)</f>
        <v>Bradford</v>
      </c>
      <c r="K14" s="10" t="str">
        <f>VLOOKUP('Formula Workbook'!AD13,Cities!$A:$B,2,FALSE)</f>
        <v>Beaver Falls</v>
      </c>
      <c r="L14" s="10" t="str">
        <f>VLOOKUP('Formula Workbook'!AE13,Cities!$A:$B,2,FALSE)</f>
        <v>Beaver Falls</v>
      </c>
      <c r="M14" s="10" t="str">
        <f>VLOOKUP('Formula Workbook'!AF13,Cities!$A:$B,2,FALSE)</f>
        <v>Beaver Falls</v>
      </c>
    </row>
    <row r="15" spans="1:13" ht="15.75" customHeight="1" x14ac:dyDescent="0.2">
      <c r="A15" s="9" t="s">
        <v>12</v>
      </c>
      <c r="B15" s="13"/>
      <c r="C15" s="9">
        <f t="shared" si="0"/>
        <v>0</v>
      </c>
      <c r="D15" s="10" t="str">
        <f>VLOOKUP('Formula Workbook'!W14,Cities!$A:$B,2,FALSE)</f>
        <v>Washington</v>
      </c>
      <c r="E15" s="10" t="str">
        <f>VLOOKUP('Formula Workbook'!X14,Cities!$A:$B,2,FALSE)</f>
        <v>Duquesne</v>
      </c>
      <c r="F15" s="10" t="str">
        <f>VLOOKUP('Formula Workbook'!Y14,Cities!$A:$B,2,FALSE)</f>
        <v>Altoona</v>
      </c>
      <c r="G15" s="10" t="str">
        <f>VLOOKUP('Formula Workbook'!Z14,Cities!$A:$B,2,FALSE)</f>
        <v>Hazleton</v>
      </c>
      <c r="H15" s="10" t="str">
        <f>VLOOKUP('Formula Workbook'!AA14,Cities!$A:$B,2,FALSE)</f>
        <v>Connellsville</v>
      </c>
      <c r="I15" s="10" t="str">
        <f>VLOOKUP('Formula Workbook'!AB14,Cities!$A:$B,2,FALSE)</f>
        <v>Hermitage</v>
      </c>
      <c r="J15" s="10" t="str">
        <f>VLOOKUP('Formula Workbook'!AC14,Cities!$A:$B,2,FALSE)</f>
        <v>Altoona</v>
      </c>
      <c r="K15" s="10" t="str">
        <f>VLOOKUP('Formula Workbook'!AD14,Cities!$A:$B,2,FALSE)</f>
        <v>Pittsburgh</v>
      </c>
      <c r="L15" s="10" t="str">
        <f>VLOOKUP('Formula Workbook'!AE14,Cities!$A:$B,2,FALSE)</f>
        <v>Duquesne</v>
      </c>
      <c r="M15" s="10" t="str">
        <f>VLOOKUP('Formula Workbook'!AF14,Cities!$A:$B,2,FALSE)</f>
        <v>Corry</v>
      </c>
    </row>
    <row r="16" spans="1:13" ht="15.75" customHeight="1" x14ac:dyDescent="0.2">
      <c r="A16" s="9" t="s">
        <v>13</v>
      </c>
      <c r="B16" s="13"/>
      <c r="C16" s="9">
        <f t="shared" si="0"/>
        <v>0</v>
      </c>
      <c r="D16" s="10" t="str">
        <f>VLOOKUP('Formula Workbook'!W15,Cities!$A:$B,2,FALSE)</f>
        <v>Connellsville</v>
      </c>
      <c r="E16" s="10" t="str">
        <f>VLOOKUP('Formula Workbook'!X15,Cities!$A:$B,2,FALSE)</f>
        <v>Franklin</v>
      </c>
      <c r="F16" s="10" t="str">
        <f>VLOOKUP('Formula Workbook'!Y15,Cities!$A:$B,2,FALSE)</f>
        <v>Allentown</v>
      </c>
      <c r="G16" s="10" t="str">
        <f>VLOOKUP('Formula Workbook'!Z15,Cities!$A:$B,2,FALSE)</f>
        <v>Corry</v>
      </c>
      <c r="H16" s="10" t="str">
        <f>VLOOKUP('Formula Workbook'!AA15,Cities!$A:$B,2,FALSE)</f>
        <v>Pittsburgh</v>
      </c>
      <c r="I16" s="10" t="str">
        <f>VLOOKUP('Formula Workbook'!AB15,Cities!$A:$B,2,FALSE)</f>
        <v>Clairton</v>
      </c>
      <c r="J16" s="10" t="str">
        <f>VLOOKUP('Formula Workbook'!AC15,Cities!$A:$B,2,FALSE)</f>
        <v>Hazleton</v>
      </c>
      <c r="K16" s="10" t="str">
        <f>VLOOKUP('Formula Workbook'!AD15,Cities!$A:$B,2,FALSE)</f>
        <v>Philadelphia</v>
      </c>
      <c r="L16" s="10" t="str">
        <f>VLOOKUP('Formula Workbook'!AE15,Cities!$A:$B,2,FALSE)</f>
        <v>Aliquippa</v>
      </c>
      <c r="M16" s="10" t="str">
        <f>VLOOKUP('Formula Workbook'!AF15,Cities!$A:$B,2,FALSE)</f>
        <v>Wilkes-Barre</v>
      </c>
    </row>
    <row r="17" spans="1:13" ht="15.75" customHeight="1" x14ac:dyDescent="0.2">
      <c r="A17" s="9" t="s">
        <v>14</v>
      </c>
      <c r="B17" s="13"/>
      <c r="C17" s="9">
        <f t="shared" si="0"/>
        <v>0</v>
      </c>
      <c r="D17" s="10" t="str">
        <f>VLOOKUP('Formula Workbook'!W16,Cities!$A:$B,2,FALSE)</f>
        <v>Philadelphia</v>
      </c>
      <c r="E17" s="10" t="str">
        <f>VLOOKUP('Formula Workbook'!X16,Cities!$A:$B,2,FALSE)</f>
        <v>Easton</v>
      </c>
      <c r="F17" s="10" t="str">
        <f>VLOOKUP('Formula Workbook'!Y16,Cities!$A:$B,2,FALSE)</f>
        <v>Easton</v>
      </c>
      <c r="G17" s="10" t="str">
        <f>VLOOKUP('Formula Workbook'!Z16,Cities!$A:$B,2,FALSE)</f>
        <v>Jeannette</v>
      </c>
      <c r="H17" s="10" t="str">
        <f>VLOOKUP('Formula Workbook'!AA16,Cities!$A:$B,2,FALSE)</f>
        <v>Easton</v>
      </c>
      <c r="I17" s="10" t="str">
        <f>VLOOKUP('Formula Workbook'!AB16,Cities!$A:$B,2,FALSE)</f>
        <v>Altoona</v>
      </c>
      <c r="J17" s="10" t="str">
        <f>VLOOKUP('Formula Workbook'!AC16,Cities!$A:$B,2,FALSE)</f>
        <v>Washington</v>
      </c>
      <c r="K17" s="10" t="str">
        <f>VLOOKUP('Formula Workbook'!AD16,Cities!$A:$B,2,FALSE)</f>
        <v>Erie</v>
      </c>
      <c r="L17" s="10" t="str">
        <f>VLOOKUP('Formula Workbook'!AE16,Cities!$A:$B,2,FALSE)</f>
        <v>Greensburg</v>
      </c>
      <c r="M17" s="10" t="str">
        <f>VLOOKUP('Formula Workbook'!AF16,Cities!$A:$B,2,FALSE)</f>
        <v>Hazleton</v>
      </c>
    </row>
    <row r="18" spans="1:13" ht="15.75" customHeight="1" x14ac:dyDescent="0.2">
      <c r="A18" s="9" t="s">
        <v>15</v>
      </c>
      <c r="B18" s="13"/>
      <c r="C18" s="9">
        <f t="shared" si="0"/>
        <v>0</v>
      </c>
      <c r="D18" s="10" t="str">
        <f>VLOOKUP('Formula Workbook'!W17,Cities!$A:$B,2,FALSE)</f>
        <v>Butler</v>
      </c>
      <c r="E18" s="10" t="str">
        <f>VLOOKUP('Formula Workbook'!X17,Cities!$A:$B,2,FALSE)</f>
        <v>Erie</v>
      </c>
      <c r="F18" s="10" t="str">
        <f>VLOOKUP('Formula Workbook'!Y17,Cities!$A:$B,2,FALSE)</f>
        <v>Bradford</v>
      </c>
      <c r="G18" s="10" t="str">
        <f>VLOOKUP('Formula Workbook'!Z17,Cities!$A:$B,2,FALSE)</f>
        <v>Connellsville</v>
      </c>
      <c r="H18" s="10" t="str">
        <f>VLOOKUP('Formula Workbook'!AA17,Cities!$A:$B,2,FALSE)</f>
        <v>Franklin</v>
      </c>
      <c r="I18" s="10" t="str">
        <f>VLOOKUP('Formula Workbook'!AB17,Cities!$A:$B,2,FALSE)</f>
        <v>Duquesne</v>
      </c>
      <c r="J18" s="10" t="str">
        <f>VLOOKUP('Formula Workbook'!AC17,Cities!$A:$B,2,FALSE)</f>
        <v>Duquesne</v>
      </c>
      <c r="K18" s="10" t="str">
        <f>VLOOKUP('Formula Workbook'!AD17,Cities!$A:$B,2,FALSE)</f>
        <v>Allentown</v>
      </c>
      <c r="L18" s="10" t="str">
        <f>VLOOKUP('Formula Workbook'!AE17,Cities!$A:$B,2,FALSE)</f>
        <v>Hermitage</v>
      </c>
      <c r="M18" s="10" t="str">
        <f>VLOOKUP('Formula Workbook'!AF17,Cities!$A:$B,2,FALSE)</f>
        <v>Corry</v>
      </c>
    </row>
    <row r="19" spans="1:13" ht="15.75" customHeight="1" x14ac:dyDescent="0.2">
      <c r="A19" s="9" t="s">
        <v>16</v>
      </c>
      <c r="B19" s="11" t="s">
        <v>225</v>
      </c>
      <c r="C19" s="9">
        <f t="shared" si="0"/>
        <v>2</v>
      </c>
      <c r="D19" s="10" t="str">
        <f>VLOOKUP('Formula Workbook'!W18,Cities!$A:$B,2,FALSE)</f>
        <v>Greensburg</v>
      </c>
      <c r="E19" s="10" t="str">
        <f>VLOOKUP('Formula Workbook'!X18,Cities!$A:$B,2,FALSE)</f>
        <v>Clairton</v>
      </c>
      <c r="F19" s="10" t="str">
        <f>VLOOKUP('Formula Workbook'!Y18,Cities!$A:$B,2,FALSE)</f>
        <v>Hermitage</v>
      </c>
      <c r="G19" s="10" t="str">
        <f>VLOOKUP('Formula Workbook'!Z18,Cities!$A:$B,2,FALSE)</f>
        <v>Duquesne</v>
      </c>
      <c r="H19" s="10" t="str">
        <f>VLOOKUP('Formula Workbook'!AA18,Cities!$A:$B,2,FALSE)</f>
        <v>Beaver Falls</v>
      </c>
      <c r="I19" s="10" t="str">
        <f>VLOOKUP('Formula Workbook'!AB18,Cities!$A:$B,2,FALSE)</f>
        <v>Chester</v>
      </c>
      <c r="J19" s="10" t="str">
        <f>VLOOKUP('Formula Workbook'!AC18,Cities!$A:$B,2,FALSE)</f>
        <v>Hazleton</v>
      </c>
      <c r="K19" s="10" t="str">
        <f>VLOOKUP('Formula Workbook'!AD18,Cities!$A:$B,2,FALSE)</f>
        <v>Clairton</v>
      </c>
      <c r="L19" s="10" t="str">
        <f>VLOOKUP('Formula Workbook'!AE18,Cities!$A:$B,2,FALSE)</f>
        <v>Pittsburgh</v>
      </c>
      <c r="M19" s="10" t="str">
        <f>VLOOKUP('Formula Workbook'!AF18,Cities!$A:$B,2,FALSE)</f>
        <v>Beaver Falls</v>
      </c>
    </row>
    <row r="20" spans="1:13" ht="15.75" customHeight="1" x14ac:dyDescent="0.2">
      <c r="A20" s="9" t="s">
        <v>17</v>
      </c>
      <c r="B20" s="13"/>
      <c r="C20" s="9">
        <f t="shared" si="0"/>
        <v>0</v>
      </c>
      <c r="D20" s="10" t="str">
        <f>VLOOKUP('Formula Workbook'!W19,Cities!$A:$B,2,FALSE)</f>
        <v>Greensburg</v>
      </c>
      <c r="E20" s="10" t="str">
        <f>VLOOKUP('Formula Workbook'!X19,Cities!$A:$B,2,FALSE)</f>
        <v>Bradford</v>
      </c>
      <c r="F20" s="10" t="str">
        <f>VLOOKUP('Formula Workbook'!Y19,Cities!$A:$B,2,FALSE)</f>
        <v>Altoona</v>
      </c>
      <c r="G20" s="10" t="str">
        <f>VLOOKUP('Formula Workbook'!Z19,Cities!$A:$B,2,FALSE)</f>
        <v>Corry</v>
      </c>
      <c r="H20" s="10" t="str">
        <f>VLOOKUP('Formula Workbook'!AA19,Cities!$A:$B,2,FALSE)</f>
        <v>Easton</v>
      </c>
      <c r="I20" s="10" t="str">
        <f>VLOOKUP('Formula Workbook'!AB19,Cities!$A:$B,2,FALSE)</f>
        <v>Greensburg</v>
      </c>
      <c r="J20" s="10" t="str">
        <f>VLOOKUP('Formula Workbook'!AC19,Cities!$A:$B,2,FALSE)</f>
        <v>Hermitage</v>
      </c>
      <c r="K20" s="10" t="str">
        <f>VLOOKUP('Formula Workbook'!AD19,Cities!$A:$B,2,FALSE)</f>
        <v>Hermitage</v>
      </c>
      <c r="L20" s="10" t="str">
        <f>VLOOKUP('Formula Workbook'!AE19,Cities!$A:$B,2,FALSE)</f>
        <v>Jeannette</v>
      </c>
      <c r="M20" s="10" t="str">
        <f>VLOOKUP('Formula Workbook'!AF19,Cities!$A:$B,2,FALSE)</f>
        <v>Washington</v>
      </c>
    </row>
    <row r="21" spans="1:13" ht="15.75" customHeight="1" x14ac:dyDescent="0.2">
      <c r="A21" s="9" t="s">
        <v>18</v>
      </c>
      <c r="B21" s="11" t="s">
        <v>225</v>
      </c>
      <c r="C21" s="9">
        <f t="shared" si="0"/>
        <v>1</v>
      </c>
      <c r="D21" s="10" t="str">
        <f>VLOOKUP('Formula Workbook'!W20,Cities!$A:$B,2,FALSE)</f>
        <v>Corry</v>
      </c>
      <c r="E21" s="10" t="str">
        <f>VLOOKUP('Formula Workbook'!X20,Cities!$A:$B,2,FALSE)</f>
        <v>Washington</v>
      </c>
      <c r="F21" s="10" t="str">
        <f>VLOOKUP('Formula Workbook'!Y20,Cities!$A:$B,2,FALSE)</f>
        <v>Beaver Falls</v>
      </c>
      <c r="G21" s="10" t="str">
        <f>VLOOKUP('Formula Workbook'!Z20,Cities!$A:$B,2,FALSE)</f>
        <v>Hermitage</v>
      </c>
      <c r="H21" s="10" t="str">
        <f>VLOOKUP('Formula Workbook'!AA20,Cities!$A:$B,2,FALSE)</f>
        <v>Jeannette</v>
      </c>
      <c r="I21" s="10" t="str">
        <f>VLOOKUP('Formula Workbook'!AB20,Cities!$A:$B,2,FALSE)</f>
        <v>Pittsburgh</v>
      </c>
      <c r="J21" s="10" t="str">
        <f>VLOOKUP('Formula Workbook'!AC20,Cities!$A:$B,2,FALSE)</f>
        <v>Hermitage</v>
      </c>
      <c r="K21" s="10" t="str">
        <f>VLOOKUP('Formula Workbook'!AD20,Cities!$A:$B,2,FALSE)</f>
        <v>Wilkes-Barre</v>
      </c>
      <c r="L21" s="10" t="str">
        <f>VLOOKUP('Formula Workbook'!AE20,Cities!$A:$B,2,FALSE)</f>
        <v>Bradford</v>
      </c>
      <c r="M21" s="10" t="str">
        <f>VLOOKUP('Formula Workbook'!AF20,Cities!$A:$B,2,FALSE)</f>
        <v>Reading</v>
      </c>
    </row>
    <row r="22" spans="1:13" ht="15.75" customHeight="1" x14ac:dyDescent="0.2">
      <c r="A22" s="9" t="s">
        <v>19</v>
      </c>
      <c r="B22" s="13"/>
      <c r="C22" s="9">
        <f t="shared" si="0"/>
        <v>0</v>
      </c>
      <c r="D22" s="10" t="str">
        <f>VLOOKUP('Formula Workbook'!W21,Cities!$A:$B,2,FALSE)</f>
        <v>Connellsville</v>
      </c>
      <c r="E22" s="10" t="str">
        <f>VLOOKUP('Formula Workbook'!X21,Cities!$A:$B,2,FALSE)</f>
        <v>Pittsburgh</v>
      </c>
      <c r="F22" s="10" t="str">
        <f>VLOOKUP('Formula Workbook'!Y21,Cities!$A:$B,2,FALSE)</f>
        <v>Harrisburg</v>
      </c>
      <c r="G22" s="10" t="str">
        <f>VLOOKUP('Formula Workbook'!Z21,Cities!$A:$B,2,FALSE)</f>
        <v>Erie</v>
      </c>
      <c r="H22" s="10" t="str">
        <f>VLOOKUP('Formula Workbook'!AA21,Cities!$A:$B,2,FALSE)</f>
        <v>Franklin</v>
      </c>
      <c r="I22" s="10" t="str">
        <f>VLOOKUP('Formula Workbook'!AB21,Cities!$A:$B,2,FALSE)</f>
        <v>Harrisburg</v>
      </c>
      <c r="J22" s="10" t="str">
        <f>VLOOKUP('Formula Workbook'!AC21,Cities!$A:$B,2,FALSE)</f>
        <v>Bradford</v>
      </c>
      <c r="K22" s="10" t="str">
        <f>VLOOKUP('Formula Workbook'!AD21,Cities!$A:$B,2,FALSE)</f>
        <v>Pittsburgh</v>
      </c>
      <c r="L22" s="10" t="str">
        <f>VLOOKUP('Formula Workbook'!AE21,Cities!$A:$B,2,FALSE)</f>
        <v>Franklin</v>
      </c>
      <c r="M22" s="10" t="str">
        <f>VLOOKUP('Formula Workbook'!AF21,Cities!$A:$B,2,FALSE)</f>
        <v>Duquesne</v>
      </c>
    </row>
    <row r="23" spans="1:13" ht="15.75" customHeight="1" x14ac:dyDescent="0.2">
      <c r="A23" s="9" t="s">
        <v>20</v>
      </c>
      <c r="B23" s="11" t="s">
        <v>225</v>
      </c>
      <c r="C23" s="9">
        <f t="shared" si="0"/>
        <v>1</v>
      </c>
      <c r="D23" s="10" t="str">
        <f>VLOOKUP('Formula Workbook'!W22,Cities!$A:$B,2,FALSE)</f>
        <v>Bethlehem</v>
      </c>
      <c r="E23" s="10" t="str">
        <f>VLOOKUP('Formula Workbook'!X22,Cities!$A:$B,2,FALSE)</f>
        <v>Washington</v>
      </c>
      <c r="F23" s="10" t="str">
        <f>VLOOKUP('Formula Workbook'!Y22,Cities!$A:$B,2,FALSE)</f>
        <v>Chester</v>
      </c>
      <c r="G23" s="10" t="str">
        <f>VLOOKUP('Formula Workbook'!Z22,Cities!$A:$B,2,FALSE)</f>
        <v>DuBois</v>
      </c>
      <c r="H23" s="10" t="str">
        <f>VLOOKUP('Formula Workbook'!AA22,Cities!$A:$B,2,FALSE)</f>
        <v>Bethlehem</v>
      </c>
      <c r="I23" s="10" t="str">
        <f>VLOOKUP('Formula Workbook'!AB22,Cities!$A:$B,2,FALSE)</f>
        <v>Beaver Falls</v>
      </c>
      <c r="J23" s="10" t="str">
        <f>VLOOKUP('Formula Workbook'!AC22,Cities!$A:$B,2,FALSE)</f>
        <v>Altoona</v>
      </c>
      <c r="K23" s="10" t="str">
        <f>VLOOKUP('Formula Workbook'!AD22,Cities!$A:$B,2,FALSE)</f>
        <v>Hazleton</v>
      </c>
      <c r="L23" s="10" t="str">
        <f>VLOOKUP('Formula Workbook'!AE22,Cities!$A:$B,2,FALSE)</f>
        <v>Chester</v>
      </c>
      <c r="M23" s="10" t="str">
        <f>VLOOKUP('Formula Workbook'!AF22,Cities!$A:$B,2,FALSE)</f>
        <v>Wilkes-Barre</v>
      </c>
    </row>
    <row r="24" spans="1:13" ht="15.75" customHeight="1" x14ac:dyDescent="0.2">
      <c r="A24" s="9" t="s">
        <v>21</v>
      </c>
      <c r="B24" s="11" t="s">
        <v>225</v>
      </c>
      <c r="C24" s="9">
        <f t="shared" si="0"/>
        <v>1</v>
      </c>
      <c r="D24" s="10" t="str">
        <f>VLOOKUP('Formula Workbook'!W23,Cities!$A:$B,2,FALSE)</f>
        <v>Beaver Falls</v>
      </c>
      <c r="E24" s="10" t="str">
        <f>VLOOKUP('Formula Workbook'!X23,Cities!$A:$B,2,FALSE)</f>
        <v>Allentown</v>
      </c>
      <c r="F24" s="10" t="str">
        <f>VLOOKUP('Formula Workbook'!Y23,Cities!$A:$B,2,FALSE)</f>
        <v>Reading</v>
      </c>
      <c r="G24" s="10" t="str">
        <f>VLOOKUP('Formula Workbook'!Z23,Cities!$A:$B,2,FALSE)</f>
        <v>Bethlehem</v>
      </c>
      <c r="H24" s="10" t="str">
        <f>VLOOKUP('Formula Workbook'!AA23,Cities!$A:$B,2,FALSE)</f>
        <v>Philadelphia</v>
      </c>
      <c r="I24" s="10" t="str">
        <f>VLOOKUP('Formula Workbook'!AB23,Cities!$A:$B,2,FALSE)</f>
        <v>Wilkes-Barre</v>
      </c>
      <c r="J24" s="10" t="str">
        <f>VLOOKUP('Formula Workbook'!AC23,Cities!$A:$B,2,FALSE)</f>
        <v>Philadelphia</v>
      </c>
      <c r="K24" s="10" t="str">
        <f>VLOOKUP('Formula Workbook'!AD23,Cities!$A:$B,2,FALSE)</f>
        <v>Easton</v>
      </c>
      <c r="L24" s="10" t="str">
        <f>VLOOKUP('Formula Workbook'!AE23,Cities!$A:$B,2,FALSE)</f>
        <v>Washington</v>
      </c>
      <c r="M24" s="10" t="str">
        <f>VLOOKUP('Formula Workbook'!AF23,Cities!$A:$B,2,FALSE)</f>
        <v>Altoona</v>
      </c>
    </row>
    <row r="25" spans="1:13" ht="15.75" customHeight="1" x14ac:dyDescent="0.2">
      <c r="A25" s="9" t="s">
        <v>22</v>
      </c>
      <c r="B25" s="13"/>
      <c r="C25" s="9">
        <f t="shared" si="0"/>
        <v>0</v>
      </c>
      <c r="D25" s="10" t="str">
        <f>VLOOKUP('Formula Workbook'!W24,Cities!$A:$B,2,FALSE)</f>
        <v>Altoona</v>
      </c>
      <c r="E25" s="10" t="str">
        <f>VLOOKUP('Formula Workbook'!X24,Cities!$A:$B,2,FALSE)</f>
        <v>Harrisburg</v>
      </c>
      <c r="F25" s="10" t="str">
        <f>VLOOKUP('Formula Workbook'!Y24,Cities!$A:$B,2,FALSE)</f>
        <v>Altoona</v>
      </c>
      <c r="G25" s="10" t="str">
        <f>VLOOKUP('Formula Workbook'!Z24,Cities!$A:$B,2,FALSE)</f>
        <v>Jeannette</v>
      </c>
      <c r="H25" s="10" t="str">
        <f>VLOOKUP('Formula Workbook'!AA24,Cities!$A:$B,2,FALSE)</f>
        <v>Corry</v>
      </c>
      <c r="I25" s="10" t="str">
        <f>VLOOKUP('Formula Workbook'!AB24,Cities!$A:$B,2,FALSE)</f>
        <v>Allentown</v>
      </c>
      <c r="J25" s="10" t="str">
        <f>VLOOKUP('Formula Workbook'!AC24,Cities!$A:$B,2,FALSE)</f>
        <v>Clairton</v>
      </c>
      <c r="K25" s="10" t="str">
        <f>VLOOKUP('Formula Workbook'!AD24,Cities!$A:$B,2,FALSE)</f>
        <v>Harrisburg</v>
      </c>
      <c r="L25" s="10" t="str">
        <f>VLOOKUP('Formula Workbook'!AE24,Cities!$A:$B,2,FALSE)</f>
        <v>Altoona</v>
      </c>
      <c r="M25" s="10" t="str">
        <f>VLOOKUP('Formula Workbook'!AF24,Cities!$A:$B,2,FALSE)</f>
        <v>Easton</v>
      </c>
    </row>
    <row r="26" spans="1:13" ht="15.75" customHeight="1" x14ac:dyDescent="0.2">
      <c r="A26" s="9" t="s">
        <v>23</v>
      </c>
      <c r="B26" s="11" t="s">
        <v>225</v>
      </c>
      <c r="C26" s="9">
        <f t="shared" si="0"/>
        <v>1</v>
      </c>
      <c r="D26" s="10" t="str">
        <f>VLOOKUP('Formula Workbook'!W25,Cities!$A:$B,2,FALSE)</f>
        <v>Beaver Falls</v>
      </c>
      <c r="E26" s="10" t="str">
        <f>VLOOKUP('Formula Workbook'!X25,Cities!$A:$B,2,FALSE)</f>
        <v>Harrisburg</v>
      </c>
      <c r="F26" s="10" t="str">
        <f>VLOOKUP('Formula Workbook'!Y25,Cities!$A:$B,2,FALSE)</f>
        <v>Reading</v>
      </c>
      <c r="G26" s="10" t="str">
        <f>VLOOKUP('Formula Workbook'!Z25,Cities!$A:$B,2,FALSE)</f>
        <v>Jeannette</v>
      </c>
      <c r="H26" s="10" t="str">
        <f>VLOOKUP('Formula Workbook'!AA25,Cities!$A:$B,2,FALSE)</f>
        <v>DuBois</v>
      </c>
      <c r="I26" s="10" t="str">
        <f>VLOOKUP('Formula Workbook'!AB25,Cities!$A:$B,2,FALSE)</f>
        <v>Easton</v>
      </c>
      <c r="J26" s="10" t="str">
        <f>VLOOKUP('Formula Workbook'!AC25,Cities!$A:$B,2,FALSE)</f>
        <v>Harrisburg</v>
      </c>
      <c r="K26" s="10" t="str">
        <f>VLOOKUP('Formula Workbook'!AD25,Cities!$A:$B,2,FALSE)</f>
        <v>Chester</v>
      </c>
      <c r="L26" s="10" t="str">
        <f>VLOOKUP('Formula Workbook'!AE25,Cities!$A:$B,2,FALSE)</f>
        <v>Butler</v>
      </c>
      <c r="M26" s="10" t="str">
        <f>VLOOKUP('Formula Workbook'!AF25,Cities!$A:$B,2,FALSE)</f>
        <v>Jeannette</v>
      </c>
    </row>
    <row r="27" spans="1:13" ht="15.75" customHeight="1" x14ac:dyDescent="0.2">
      <c r="A27" s="9" t="s">
        <v>24</v>
      </c>
      <c r="B27" s="11" t="s">
        <v>225</v>
      </c>
      <c r="C27" s="9">
        <f t="shared" si="0"/>
        <v>1</v>
      </c>
      <c r="D27" s="10" t="str">
        <f>VLOOKUP('Formula Workbook'!W26,Cities!$A:$B,2,FALSE)</f>
        <v>Wilkes-Barre</v>
      </c>
      <c r="E27" s="10" t="str">
        <f>VLOOKUP('Formula Workbook'!X26,Cities!$A:$B,2,FALSE)</f>
        <v>Clairton</v>
      </c>
      <c r="F27" s="10" t="str">
        <f>VLOOKUP('Formula Workbook'!Y26,Cities!$A:$B,2,FALSE)</f>
        <v>Altoona</v>
      </c>
      <c r="G27" s="10" t="str">
        <f>VLOOKUP('Formula Workbook'!Z26,Cities!$A:$B,2,FALSE)</f>
        <v>Wilkes-Barre</v>
      </c>
      <c r="H27" s="10" t="str">
        <f>VLOOKUP('Formula Workbook'!AA26,Cities!$A:$B,2,FALSE)</f>
        <v>Jeannette</v>
      </c>
      <c r="I27" s="10" t="str">
        <f>VLOOKUP('Formula Workbook'!AB26,Cities!$A:$B,2,FALSE)</f>
        <v>Washington</v>
      </c>
      <c r="J27" s="10" t="str">
        <f>VLOOKUP('Formula Workbook'!AC26,Cities!$A:$B,2,FALSE)</f>
        <v>Wilkes-Barre</v>
      </c>
      <c r="K27" s="10" t="str">
        <f>VLOOKUP('Formula Workbook'!AD26,Cities!$A:$B,2,FALSE)</f>
        <v>Washington</v>
      </c>
      <c r="L27" s="10" t="str">
        <f>VLOOKUP('Formula Workbook'!AE26,Cities!$A:$B,2,FALSE)</f>
        <v>Beaver Falls</v>
      </c>
      <c r="M27" s="10" t="str">
        <f>VLOOKUP('Formula Workbook'!AF26,Cities!$A:$B,2,FALSE)</f>
        <v>Reading</v>
      </c>
    </row>
    <row r="28" spans="1:13" ht="15.75" customHeight="1" x14ac:dyDescent="0.2">
      <c r="A28" s="9" t="s">
        <v>25</v>
      </c>
      <c r="B28" s="11" t="s">
        <v>225</v>
      </c>
      <c r="C28" s="9">
        <f t="shared" si="0"/>
        <v>2</v>
      </c>
      <c r="D28" s="10" t="str">
        <f>VLOOKUP('Formula Workbook'!W27,Cities!$A:$B,2,FALSE)</f>
        <v>Beaver Falls</v>
      </c>
      <c r="E28" s="10" t="str">
        <f>VLOOKUP('Formula Workbook'!X27,Cities!$A:$B,2,FALSE)</f>
        <v>Harrisburg</v>
      </c>
      <c r="F28" s="10" t="str">
        <f>VLOOKUP('Formula Workbook'!Y27,Cities!$A:$B,2,FALSE)</f>
        <v>Aliquippa</v>
      </c>
      <c r="G28" s="10" t="str">
        <f>VLOOKUP('Formula Workbook'!Z27,Cities!$A:$B,2,FALSE)</f>
        <v>Allentown</v>
      </c>
      <c r="H28" s="10" t="str">
        <f>VLOOKUP('Formula Workbook'!AA27,Cities!$A:$B,2,FALSE)</f>
        <v>Reading</v>
      </c>
      <c r="I28" s="10" t="str">
        <f>VLOOKUP('Formula Workbook'!AB27,Cities!$A:$B,2,FALSE)</f>
        <v>Aliquippa</v>
      </c>
      <c r="J28" s="10" t="str">
        <f>VLOOKUP('Formula Workbook'!AC27,Cities!$A:$B,2,FALSE)</f>
        <v>Reading</v>
      </c>
      <c r="K28" s="10" t="str">
        <f>VLOOKUP('Formula Workbook'!AD27,Cities!$A:$B,2,FALSE)</f>
        <v>Beaver Falls</v>
      </c>
      <c r="L28" s="10" t="str">
        <f>VLOOKUP('Formula Workbook'!AE27,Cities!$A:$B,2,FALSE)</f>
        <v>Easton</v>
      </c>
      <c r="M28" s="10" t="str">
        <f>VLOOKUP('Formula Workbook'!AF27,Cities!$A:$B,2,FALSE)</f>
        <v>Erie</v>
      </c>
    </row>
  </sheetData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8"/>
  <sheetViews>
    <sheetView zoomScale="145" zoomScaleNormal="145" workbookViewId="0">
      <selection activeCell="E3" sqref="E3"/>
    </sheetView>
  </sheetViews>
  <sheetFormatPr defaultRowHeight="12" x14ac:dyDescent="0.2"/>
  <cols>
    <col min="1" max="1" width="5.28515625" style="8" customWidth="1"/>
    <col min="2" max="2" width="8.42578125" style="8" customWidth="1"/>
    <col min="3" max="3" width="4.5703125" style="8" hidden="1" customWidth="1"/>
    <col min="4" max="13" width="10.7109375" style="8" customWidth="1"/>
    <col min="14" max="16384" width="9.140625" style="8"/>
  </cols>
  <sheetData>
    <row r="1" spans="1:13" ht="32.25" customHeight="1" x14ac:dyDescent="0.2">
      <c r="G1" s="8" t="s">
        <v>217</v>
      </c>
      <c r="I1" s="8" t="s">
        <v>224</v>
      </c>
    </row>
    <row r="2" spans="1:13" x14ac:dyDescent="0.2">
      <c r="A2" s="8" t="s">
        <v>52</v>
      </c>
      <c r="B2" s="12" t="s">
        <v>153</v>
      </c>
      <c r="C2" s="8" t="s">
        <v>69</v>
      </c>
      <c r="D2" s="8" t="s">
        <v>143</v>
      </c>
      <c r="E2" s="8" t="s">
        <v>144</v>
      </c>
      <c r="F2" s="8" t="s">
        <v>145</v>
      </c>
      <c r="G2" s="8" t="s">
        <v>146</v>
      </c>
      <c r="H2" s="8" t="s">
        <v>147</v>
      </c>
      <c r="I2" s="8" t="s">
        <v>148</v>
      </c>
      <c r="J2" s="8" t="s">
        <v>149</v>
      </c>
      <c r="K2" s="8" t="s">
        <v>150</v>
      </c>
      <c r="L2" s="8" t="s">
        <v>151</v>
      </c>
      <c r="M2" s="8" t="s">
        <v>152</v>
      </c>
    </row>
    <row r="3" spans="1:13" ht="15.75" customHeight="1" x14ac:dyDescent="0.2">
      <c r="A3" s="9" t="s">
        <v>0</v>
      </c>
      <c r="B3" s="11" t="s">
        <v>226</v>
      </c>
      <c r="C3" s="9">
        <f>COUNTIF(D3:M3,"bradford")</f>
        <v>1</v>
      </c>
      <c r="D3" s="10" t="str">
        <f>VLOOKUP('Formula Workbook'!M2,Cities!$A:$B,2,FALSE)</f>
        <v>DuBois</v>
      </c>
      <c r="E3" s="10" t="str">
        <f>VLOOKUP('Formula Workbook'!N2,Cities!$A:$B,2,FALSE)</f>
        <v>Corry</v>
      </c>
      <c r="F3" s="10" t="str">
        <f>VLOOKUP('Formula Workbook'!O2,Cities!$A:$B,2,FALSE)</f>
        <v>Aliquippa</v>
      </c>
      <c r="G3" s="10" t="str">
        <f>VLOOKUP('Formula Workbook'!P2,Cities!$A:$B,2,FALSE)</f>
        <v>Bradford</v>
      </c>
      <c r="H3" s="10" t="str">
        <f>VLOOKUP('Formula Workbook'!Q2,Cities!$A:$B,2,FALSE)</f>
        <v>Allentown</v>
      </c>
      <c r="I3" s="10" t="str">
        <f>VLOOKUP('Formula Workbook'!R2,Cities!$A:$B,2,FALSE)</f>
        <v>Aliquippa</v>
      </c>
      <c r="J3" s="10" t="str">
        <f>VLOOKUP('Formula Workbook'!S2,Cities!$A:$B,2,FALSE)</f>
        <v>Aliquippa</v>
      </c>
      <c r="K3" s="10" t="str">
        <f>VLOOKUP('Formula Workbook'!T2,Cities!$A:$B,2,FALSE)</f>
        <v>Easton</v>
      </c>
      <c r="L3" s="10" t="str">
        <f>VLOOKUP('Formula Workbook'!U2,Cities!$A:$B,2,FALSE)</f>
        <v>Franklin</v>
      </c>
      <c r="M3" s="10" t="str">
        <f>VLOOKUP('Formula Workbook'!V2,Cities!$A:$B,2,FALSE)</f>
        <v>Chester</v>
      </c>
    </row>
    <row r="4" spans="1:13" ht="15.75" customHeight="1" x14ac:dyDescent="0.2">
      <c r="A4" s="9" t="s">
        <v>1</v>
      </c>
      <c r="B4" s="9"/>
      <c r="C4" s="9">
        <f t="shared" ref="C4:C28" si="0">COUNTIF(D4:M4,"bradford")</f>
        <v>0</v>
      </c>
      <c r="D4" s="10" t="str">
        <f>VLOOKUP('Formula Workbook'!M3,Cities!$A:$B,2,FALSE)</f>
        <v>DuBois</v>
      </c>
      <c r="E4" s="10" t="str">
        <f>VLOOKUP('Formula Workbook'!N3,Cities!$A:$B,2,FALSE)</f>
        <v>Hermitage</v>
      </c>
      <c r="F4" s="10" t="str">
        <f>VLOOKUP('Formula Workbook'!O3,Cities!$A:$B,2,FALSE)</f>
        <v>Hermitage</v>
      </c>
      <c r="G4" s="10" t="str">
        <f>VLOOKUP('Formula Workbook'!P3,Cities!$A:$B,2,FALSE)</f>
        <v>Franklin</v>
      </c>
      <c r="H4" s="10" t="str">
        <f>VLOOKUP('Formula Workbook'!Q3,Cities!$A:$B,2,FALSE)</f>
        <v>Easton</v>
      </c>
      <c r="I4" s="10" t="str">
        <f>VLOOKUP('Formula Workbook'!R3,Cities!$A:$B,2,FALSE)</f>
        <v>Hazleton</v>
      </c>
      <c r="J4" s="10" t="str">
        <f>VLOOKUP('Formula Workbook'!S3,Cities!$A:$B,2,FALSE)</f>
        <v>Hazleton</v>
      </c>
      <c r="K4" s="10" t="str">
        <f>VLOOKUP('Formula Workbook'!T3,Cities!$A:$B,2,FALSE)</f>
        <v>Bethlehem</v>
      </c>
      <c r="L4" s="10" t="str">
        <f>VLOOKUP('Formula Workbook'!U3,Cities!$A:$B,2,FALSE)</f>
        <v>Allentown</v>
      </c>
      <c r="M4" s="10" t="str">
        <f>VLOOKUP('Formula Workbook'!V3,Cities!$A:$B,2,FALSE)</f>
        <v>Corry</v>
      </c>
    </row>
    <row r="5" spans="1:13" ht="15.75" customHeight="1" x14ac:dyDescent="0.2">
      <c r="A5" s="9" t="s">
        <v>2</v>
      </c>
      <c r="B5" s="11" t="s">
        <v>226</v>
      </c>
      <c r="C5" s="9">
        <f t="shared" si="0"/>
        <v>1</v>
      </c>
      <c r="D5" s="10" t="str">
        <f>VLOOKUP('Formula Workbook'!M4,Cities!$A:$B,2,FALSE)</f>
        <v>Washington</v>
      </c>
      <c r="E5" s="10" t="str">
        <f>VLOOKUP('Formula Workbook'!N4,Cities!$A:$B,2,FALSE)</f>
        <v>Harrisburg</v>
      </c>
      <c r="F5" s="10" t="str">
        <f>VLOOKUP('Formula Workbook'!O4,Cities!$A:$B,2,FALSE)</f>
        <v>Chester</v>
      </c>
      <c r="G5" s="10" t="str">
        <f>VLOOKUP('Formula Workbook'!P4,Cities!$A:$B,2,FALSE)</f>
        <v>Bradford</v>
      </c>
      <c r="H5" s="10" t="str">
        <f>VLOOKUP('Formula Workbook'!Q4,Cities!$A:$B,2,FALSE)</f>
        <v>Jeannette</v>
      </c>
      <c r="I5" s="10" t="str">
        <f>VLOOKUP('Formula Workbook'!R4,Cities!$A:$B,2,FALSE)</f>
        <v>Hermitage</v>
      </c>
      <c r="J5" s="10" t="str">
        <f>VLOOKUP('Formula Workbook'!S4,Cities!$A:$B,2,FALSE)</f>
        <v>Chester</v>
      </c>
      <c r="K5" s="10" t="str">
        <f>VLOOKUP('Formula Workbook'!T4,Cities!$A:$B,2,FALSE)</f>
        <v>Franklin</v>
      </c>
      <c r="L5" s="10" t="str">
        <f>VLOOKUP('Formula Workbook'!U4,Cities!$A:$B,2,FALSE)</f>
        <v>Connellsville</v>
      </c>
      <c r="M5" s="10" t="str">
        <f>VLOOKUP('Formula Workbook'!V4,Cities!$A:$B,2,FALSE)</f>
        <v>Washington</v>
      </c>
    </row>
    <row r="6" spans="1:13" ht="15.75" customHeight="1" x14ac:dyDescent="0.2">
      <c r="A6" s="9" t="s">
        <v>3</v>
      </c>
      <c r="B6" s="9"/>
      <c r="C6" s="9">
        <f t="shared" si="0"/>
        <v>0</v>
      </c>
      <c r="D6" s="10" t="str">
        <f>VLOOKUP('Formula Workbook'!M5,Cities!$A:$B,2,FALSE)</f>
        <v>Franklin</v>
      </c>
      <c r="E6" s="10" t="str">
        <f>VLOOKUP('Formula Workbook'!N5,Cities!$A:$B,2,FALSE)</f>
        <v>Wilkes-Barre</v>
      </c>
      <c r="F6" s="10" t="str">
        <f>VLOOKUP('Formula Workbook'!O5,Cities!$A:$B,2,FALSE)</f>
        <v>Aliquippa</v>
      </c>
      <c r="G6" s="10" t="str">
        <f>VLOOKUP('Formula Workbook'!P5,Cities!$A:$B,2,FALSE)</f>
        <v>Bethlehem</v>
      </c>
      <c r="H6" s="10" t="str">
        <f>VLOOKUP('Formula Workbook'!Q5,Cities!$A:$B,2,FALSE)</f>
        <v>Reading</v>
      </c>
      <c r="I6" s="10" t="str">
        <f>VLOOKUP('Formula Workbook'!R5,Cities!$A:$B,2,FALSE)</f>
        <v>Hermitage</v>
      </c>
      <c r="J6" s="10" t="str">
        <f>VLOOKUP('Formula Workbook'!S5,Cities!$A:$B,2,FALSE)</f>
        <v>Butler</v>
      </c>
      <c r="K6" s="10" t="str">
        <f>VLOOKUP('Formula Workbook'!T5,Cities!$A:$B,2,FALSE)</f>
        <v>Philadelphia</v>
      </c>
      <c r="L6" s="10" t="str">
        <f>VLOOKUP('Formula Workbook'!U5,Cities!$A:$B,2,FALSE)</f>
        <v>Hermitage</v>
      </c>
      <c r="M6" s="10" t="str">
        <f>VLOOKUP('Formula Workbook'!V5,Cities!$A:$B,2,FALSE)</f>
        <v>Bethlehem</v>
      </c>
    </row>
    <row r="7" spans="1:13" ht="15.75" customHeight="1" x14ac:dyDescent="0.2">
      <c r="A7" s="9" t="s">
        <v>4</v>
      </c>
      <c r="B7" s="11" t="s">
        <v>226</v>
      </c>
      <c r="C7" s="9">
        <f t="shared" si="0"/>
        <v>1</v>
      </c>
      <c r="D7" s="10" t="str">
        <f>VLOOKUP('Formula Workbook'!M6,Cities!$A:$B,2,FALSE)</f>
        <v>Reading</v>
      </c>
      <c r="E7" s="10" t="str">
        <f>VLOOKUP('Formula Workbook'!N6,Cities!$A:$B,2,FALSE)</f>
        <v>Harrisburg</v>
      </c>
      <c r="F7" s="10" t="str">
        <f>VLOOKUP('Formula Workbook'!O6,Cities!$A:$B,2,FALSE)</f>
        <v>Easton</v>
      </c>
      <c r="G7" s="10" t="str">
        <f>VLOOKUP('Formula Workbook'!P6,Cities!$A:$B,2,FALSE)</f>
        <v>Bradford</v>
      </c>
      <c r="H7" s="10" t="str">
        <f>VLOOKUP('Formula Workbook'!Q6,Cities!$A:$B,2,FALSE)</f>
        <v>Washington</v>
      </c>
      <c r="I7" s="10" t="str">
        <f>VLOOKUP('Formula Workbook'!R6,Cities!$A:$B,2,FALSE)</f>
        <v>Altoona</v>
      </c>
      <c r="J7" s="10" t="str">
        <f>VLOOKUP('Formula Workbook'!S6,Cities!$A:$B,2,FALSE)</f>
        <v>Franklin</v>
      </c>
      <c r="K7" s="10" t="str">
        <f>VLOOKUP('Formula Workbook'!T6,Cities!$A:$B,2,FALSE)</f>
        <v>Greensburg</v>
      </c>
      <c r="L7" s="10" t="str">
        <f>VLOOKUP('Formula Workbook'!U6,Cities!$A:$B,2,FALSE)</f>
        <v>Bethlehem</v>
      </c>
      <c r="M7" s="10" t="str">
        <f>VLOOKUP('Formula Workbook'!V6,Cities!$A:$B,2,FALSE)</f>
        <v>Corry</v>
      </c>
    </row>
    <row r="8" spans="1:13" ht="15.75" customHeight="1" x14ac:dyDescent="0.2">
      <c r="A8" s="9" t="s">
        <v>5</v>
      </c>
      <c r="B8" s="11" t="s">
        <v>226</v>
      </c>
      <c r="C8" s="9">
        <f t="shared" si="0"/>
        <v>1</v>
      </c>
      <c r="D8" s="10" t="str">
        <f>VLOOKUP('Formula Workbook'!M7,Cities!$A:$B,2,FALSE)</f>
        <v>Philadelphia</v>
      </c>
      <c r="E8" s="10" t="str">
        <f>VLOOKUP('Formula Workbook'!N7,Cities!$A:$B,2,FALSE)</f>
        <v>Beaver Falls</v>
      </c>
      <c r="F8" s="10" t="str">
        <f>VLOOKUP('Formula Workbook'!O7,Cities!$A:$B,2,FALSE)</f>
        <v>Greensburg</v>
      </c>
      <c r="G8" s="10" t="str">
        <f>VLOOKUP('Formula Workbook'!P7,Cities!$A:$B,2,FALSE)</f>
        <v>DuBois</v>
      </c>
      <c r="H8" s="10" t="str">
        <f>VLOOKUP('Formula Workbook'!Q7,Cities!$A:$B,2,FALSE)</f>
        <v>Clairton</v>
      </c>
      <c r="I8" s="10" t="str">
        <f>VLOOKUP('Formula Workbook'!R7,Cities!$A:$B,2,FALSE)</f>
        <v>Bradford</v>
      </c>
      <c r="J8" s="10" t="str">
        <f>VLOOKUP('Formula Workbook'!S7,Cities!$A:$B,2,FALSE)</f>
        <v>Franklin</v>
      </c>
      <c r="K8" s="10" t="str">
        <f>VLOOKUP('Formula Workbook'!T7,Cities!$A:$B,2,FALSE)</f>
        <v>Jeannette</v>
      </c>
      <c r="L8" s="10" t="str">
        <f>VLOOKUP('Formula Workbook'!U7,Cities!$A:$B,2,FALSE)</f>
        <v>Butler</v>
      </c>
      <c r="M8" s="10" t="str">
        <f>VLOOKUP('Formula Workbook'!V7,Cities!$A:$B,2,FALSE)</f>
        <v>Aliquippa</v>
      </c>
    </row>
    <row r="9" spans="1:13" ht="15.75" customHeight="1" x14ac:dyDescent="0.2">
      <c r="A9" s="9" t="s">
        <v>6</v>
      </c>
      <c r="B9" s="9"/>
      <c r="C9" s="9">
        <f t="shared" si="0"/>
        <v>0</v>
      </c>
      <c r="D9" s="10" t="str">
        <f>VLOOKUP('Formula Workbook'!M8,Cities!$A:$B,2,FALSE)</f>
        <v>Clairton</v>
      </c>
      <c r="E9" s="10" t="str">
        <f>VLOOKUP('Formula Workbook'!N8,Cities!$A:$B,2,FALSE)</f>
        <v>Allentown</v>
      </c>
      <c r="F9" s="10" t="str">
        <f>VLOOKUP('Formula Workbook'!O8,Cities!$A:$B,2,FALSE)</f>
        <v>DuBois</v>
      </c>
      <c r="G9" s="10" t="str">
        <f>VLOOKUP('Formula Workbook'!P8,Cities!$A:$B,2,FALSE)</f>
        <v>Bethlehem</v>
      </c>
      <c r="H9" s="10" t="str">
        <f>VLOOKUP('Formula Workbook'!Q8,Cities!$A:$B,2,FALSE)</f>
        <v>DuBois</v>
      </c>
      <c r="I9" s="10" t="str">
        <f>VLOOKUP('Formula Workbook'!R8,Cities!$A:$B,2,FALSE)</f>
        <v>Easton</v>
      </c>
      <c r="J9" s="10" t="str">
        <f>VLOOKUP('Formula Workbook'!S8,Cities!$A:$B,2,FALSE)</f>
        <v>Wilkes-Barre</v>
      </c>
      <c r="K9" s="10" t="str">
        <f>VLOOKUP('Formula Workbook'!T8,Cities!$A:$B,2,FALSE)</f>
        <v>Reading</v>
      </c>
      <c r="L9" s="10" t="str">
        <f>VLOOKUP('Formula Workbook'!U8,Cities!$A:$B,2,FALSE)</f>
        <v>DuBois</v>
      </c>
      <c r="M9" s="10" t="str">
        <f>VLOOKUP('Formula Workbook'!V8,Cities!$A:$B,2,FALSE)</f>
        <v>Bethlehem</v>
      </c>
    </row>
    <row r="10" spans="1:13" ht="15.75" customHeight="1" x14ac:dyDescent="0.2">
      <c r="A10" s="9" t="s">
        <v>7</v>
      </c>
      <c r="B10" s="9"/>
      <c r="C10" s="9">
        <f t="shared" si="0"/>
        <v>0</v>
      </c>
      <c r="D10" s="10" t="str">
        <f>VLOOKUP('Formula Workbook'!M9,Cities!$A:$B,2,FALSE)</f>
        <v>Corry</v>
      </c>
      <c r="E10" s="10" t="str">
        <f>VLOOKUP('Formula Workbook'!N9,Cities!$A:$B,2,FALSE)</f>
        <v>Greensburg</v>
      </c>
      <c r="F10" s="10" t="str">
        <f>VLOOKUP('Formula Workbook'!O9,Cities!$A:$B,2,FALSE)</f>
        <v>Greensburg</v>
      </c>
      <c r="G10" s="10" t="str">
        <f>VLOOKUP('Formula Workbook'!P9,Cities!$A:$B,2,FALSE)</f>
        <v>Aliquippa</v>
      </c>
      <c r="H10" s="10" t="str">
        <f>VLOOKUP('Formula Workbook'!Q9,Cities!$A:$B,2,FALSE)</f>
        <v>Washington</v>
      </c>
      <c r="I10" s="10" t="str">
        <f>VLOOKUP('Formula Workbook'!R9,Cities!$A:$B,2,FALSE)</f>
        <v>DuBois</v>
      </c>
      <c r="J10" s="10" t="str">
        <f>VLOOKUP('Formula Workbook'!S9,Cities!$A:$B,2,FALSE)</f>
        <v>Reading</v>
      </c>
      <c r="K10" s="10" t="str">
        <f>VLOOKUP('Formula Workbook'!T9,Cities!$A:$B,2,FALSE)</f>
        <v>Reading</v>
      </c>
      <c r="L10" s="10" t="str">
        <f>VLOOKUP('Formula Workbook'!U9,Cities!$A:$B,2,FALSE)</f>
        <v>Wilkes-Barre</v>
      </c>
      <c r="M10" s="10" t="str">
        <f>VLOOKUP('Formula Workbook'!V9,Cities!$A:$B,2,FALSE)</f>
        <v>Connellsville</v>
      </c>
    </row>
    <row r="11" spans="1:13" ht="15.75" customHeight="1" x14ac:dyDescent="0.2">
      <c r="A11" s="9" t="s">
        <v>8</v>
      </c>
      <c r="B11" s="9"/>
      <c r="C11" s="9">
        <f t="shared" si="0"/>
        <v>0</v>
      </c>
      <c r="D11" s="10" t="str">
        <f>VLOOKUP('Formula Workbook'!M10,Cities!$A:$B,2,FALSE)</f>
        <v>Altoona</v>
      </c>
      <c r="E11" s="10" t="str">
        <f>VLOOKUP('Formula Workbook'!N10,Cities!$A:$B,2,FALSE)</f>
        <v>Clairton</v>
      </c>
      <c r="F11" s="10" t="str">
        <f>VLOOKUP('Formula Workbook'!O10,Cities!$A:$B,2,FALSE)</f>
        <v>Duquesne</v>
      </c>
      <c r="G11" s="10" t="str">
        <f>VLOOKUP('Formula Workbook'!P10,Cities!$A:$B,2,FALSE)</f>
        <v>Philadelphia</v>
      </c>
      <c r="H11" s="10" t="str">
        <f>VLOOKUP('Formula Workbook'!Q10,Cities!$A:$B,2,FALSE)</f>
        <v>Jeannette</v>
      </c>
      <c r="I11" s="10" t="str">
        <f>VLOOKUP('Formula Workbook'!R10,Cities!$A:$B,2,FALSE)</f>
        <v>Connellsville</v>
      </c>
      <c r="J11" s="10" t="str">
        <f>VLOOKUP('Formula Workbook'!S10,Cities!$A:$B,2,FALSE)</f>
        <v>Aliquippa</v>
      </c>
      <c r="K11" s="10" t="str">
        <f>VLOOKUP('Formula Workbook'!T10,Cities!$A:$B,2,FALSE)</f>
        <v>Connellsville</v>
      </c>
      <c r="L11" s="10" t="str">
        <f>VLOOKUP('Formula Workbook'!U10,Cities!$A:$B,2,FALSE)</f>
        <v>Allentown</v>
      </c>
      <c r="M11" s="10" t="str">
        <f>VLOOKUP('Formula Workbook'!V10,Cities!$A:$B,2,FALSE)</f>
        <v>Corry</v>
      </c>
    </row>
    <row r="12" spans="1:13" ht="15.75" customHeight="1" x14ac:dyDescent="0.2">
      <c r="A12" s="9" t="s">
        <v>9</v>
      </c>
      <c r="B12" s="9"/>
      <c r="C12" s="9">
        <f t="shared" si="0"/>
        <v>0</v>
      </c>
      <c r="D12" s="10" t="str">
        <f>VLOOKUP('Formula Workbook'!M11,Cities!$A:$B,2,FALSE)</f>
        <v>Jeannette</v>
      </c>
      <c r="E12" s="10" t="str">
        <f>VLOOKUP('Formula Workbook'!N11,Cities!$A:$B,2,FALSE)</f>
        <v>Hermitage</v>
      </c>
      <c r="F12" s="10" t="str">
        <f>VLOOKUP('Formula Workbook'!O11,Cities!$A:$B,2,FALSE)</f>
        <v>Reading</v>
      </c>
      <c r="G12" s="10" t="str">
        <f>VLOOKUP('Formula Workbook'!P11,Cities!$A:$B,2,FALSE)</f>
        <v>Connellsville</v>
      </c>
      <c r="H12" s="10" t="str">
        <f>VLOOKUP('Formula Workbook'!Q11,Cities!$A:$B,2,FALSE)</f>
        <v>Easton</v>
      </c>
      <c r="I12" s="10" t="str">
        <f>VLOOKUP('Formula Workbook'!R11,Cities!$A:$B,2,FALSE)</f>
        <v>Altoona</v>
      </c>
      <c r="J12" s="10" t="str">
        <f>VLOOKUP('Formula Workbook'!S11,Cities!$A:$B,2,FALSE)</f>
        <v>Greensburg</v>
      </c>
      <c r="K12" s="10" t="str">
        <f>VLOOKUP('Formula Workbook'!T11,Cities!$A:$B,2,FALSE)</f>
        <v>Washington</v>
      </c>
      <c r="L12" s="10" t="str">
        <f>VLOOKUP('Formula Workbook'!U11,Cities!$A:$B,2,FALSE)</f>
        <v>Corry</v>
      </c>
      <c r="M12" s="10" t="str">
        <f>VLOOKUP('Formula Workbook'!V11,Cities!$A:$B,2,FALSE)</f>
        <v>Clairton</v>
      </c>
    </row>
    <row r="13" spans="1:13" ht="15.75" customHeight="1" x14ac:dyDescent="0.2">
      <c r="A13" s="9" t="s">
        <v>10</v>
      </c>
      <c r="B13" s="11" t="s">
        <v>226</v>
      </c>
      <c r="C13" s="9">
        <f t="shared" si="0"/>
        <v>1</v>
      </c>
      <c r="D13" s="10" t="str">
        <f>VLOOKUP('Formula Workbook'!M12,Cities!$A:$B,2,FALSE)</f>
        <v>Bradford</v>
      </c>
      <c r="E13" s="10" t="str">
        <f>VLOOKUP('Formula Workbook'!N12,Cities!$A:$B,2,FALSE)</f>
        <v>Hazleton</v>
      </c>
      <c r="F13" s="10" t="str">
        <f>VLOOKUP('Formula Workbook'!O12,Cities!$A:$B,2,FALSE)</f>
        <v>Wilkes-Barre</v>
      </c>
      <c r="G13" s="10" t="str">
        <f>VLOOKUP('Formula Workbook'!P12,Cities!$A:$B,2,FALSE)</f>
        <v>Aliquippa</v>
      </c>
      <c r="H13" s="10" t="str">
        <f>VLOOKUP('Formula Workbook'!Q12,Cities!$A:$B,2,FALSE)</f>
        <v>Easton</v>
      </c>
      <c r="I13" s="10" t="str">
        <f>VLOOKUP('Formula Workbook'!R12,Cities!$A:$B,2,FALSE)</f>
        <v>Pittsburgh</v>
      </c>
      <c r="J13" s="10" t="str">
        <f>VLOOKUP('Formula Workbook'!S12,Cities!$A:$B,2,FALSE)</f>
        <v>Easton</v>
      </c>
      <c r="K13" s="10" t="str">
        <f>VLOOKUP('Formula Workbook'!T12,Cities!$A:$B,2,FALSE)</f>
        <v>Connellsville</v>
      </c>
      <c r="L13" s="10" t="str">
        <f>VLOOKUP('Formula Workbook'!U12,Cities!$A:$B,2,FALSE)</f>
        <v>Altoona</v>
      </c>
      <c r="M13" s="10" t="str">
        <f>VLOOKUP('Formula Workbook'!V12,Cities!$A:$B,2,FALSE)</f>
        <v>Pittsburgh</v>
      </c>
    </row>
    <row r="14" spans="1:13" ht="15.75" customHeight="1" x14ac:dyDescent="0.2">
      <c r="A14" s="9" t="s">
        <v>11</v>
      </c>
      <c r="B14" s="9"/>
      <c r="C14" s="9">
        <f t="shared" si="0"/>
        <v>0</v>
      </c>
      <c r="D14" s="10" t="str">
        <f>VLOOKUP('Formula Workbook'!M13,Cities!$A:$B,2,FALSE)</f>
        <v>Clairton</v>
      </c>
      <c r="E14" s="10" t="str">
        <f>VLOOKUP('Formula Workbook'!N13,Cities!$A:$B,2,FALSE)</f>
        <v>Greensburg</v>
      </c>
      <c r="F14" s="10" t="str">
        <f>VLOOKUP('Formula Workbook'!O13,Cities!$A:$B,2,FALSE)</f>
        <v>Easton</v>
      </c>
      <c r="G14" s="10" t="str">
        <f>VLOOKUP('Formula Workbook'!P13,Cities!$A:$B,2,FALSE)</f>
        <v>Washington</v>
      </c>
      <c r="H14" s="10" t="str">
        <f>VLOOKUP('Formula Workbook'!Q13,Cities!$A:$B,2,FALSE)</f>
        <v>Corry</v>
      </c>
      <c r="I14" s="10" t="str">
        <f>VLOOKUP('Formula Workbook'!R13,Cities!$A:$B,2,FALSE)</f>
        <v>Jeannette</v>
      </c>
      <c r="J14" s="10" t="str">
        <f>VLOOKUP('Formula Workbook'!S13,Cities!$A:$B,2,FALSE)</f>
        <v>Franklin</v>
      </c>
      <c r="K14" s="10" t="str">
        <f>VLOOKUP('Formula Workbook'!T13,Cities!$A:$B,2,FALSE)</f>
        <v>Chester</v>
      </c>
      <c r="L14" s="10" t="str">
        <f>VLOOKUP('Formula Workbook'!U13,Cities!$A:$B,2,FALSE)</f>
        <v>Aliquippa</v>
      </c>
      <c r="M14" s="10" t="str">
        <f>VLOOKUP('Formula Workbook'!V13,Cities!$A:$B,2,FALSE)</f>
        <v>Beaver Falls</v>
      </c>
    </row>
    <row r="15" spans="1:13" ht="15.75" customHeight="1" x14ac:dyDescent="0.2">
      <c r="A15" s="9" t="s">
        <v>12</v>
      </c>
      <c r="B15" s="11" t="s">
        <v>226</v>
      </c>
      <c r="C15" s="9">
        <f t="shared" si="0"/>
        <v>1</v>
      </c>
      <c r="D15" s="10" t="str">
        <f>VLOOKUP('Formula Workbook'!M14,Cities!$A:$B,2,FALSE)</f>
        <v>Chester</v>
      </c>
      <c r="E15" s="10" t="str">
        <f>VLOOKUP('Formula Workbook'!N14,Cities!$A:$B,2,FALSE)</f>
        <v>Beaver Falls</v>
      </c>
      <c r="F15" s="10" t="str">
        <f>VLOOKUP('Formula Workbook'!O14,Cities!$A:$B,2,FALSE)</f>
        <v>Aliquippa</v>
      </c>
      <c r="G15" s="10" t="str">
        <f>VLOOKUP('Formula Workbook'!P14,Cities!$A:$B,2,FALSE)</f>
        <v>Bethlehem</v>
      </c>
      <c r="H15" s="10" t="str">
        <f>VLOOKUP('Formula Workbook'!Q14,Cities!$A:$B,2,FALSE)</f>
        <v>Corry</v>
      </c>
      <c r="I15" s="10" t="str">
        <f>VLOOKUP('Formula Workbook'!R14,Cities!$A:$B,2,FALSE)</f>
        <v>Easton</v>
      </c>
      <c r="J15" s="10" t="str">
        <f>VLOOKUP('Formula Workbook'!S14,Cities!$A:$B,2,FALSE)</f>
        <v>Beaver Falls</v>
      </c>
      <c r="K15" s="10" t="str">
        <f>VLOOKUP('Formula Workbook'!T14,Cities!$A:$B,2,FALSE)</f>
        <v>Aliquippa</v>
      </c>
      <c r="L15" s="10" t="str">
        <f>VLOOKUP('Formula Workbook'!U14,Cities!$A:$B,2,FALSE)</f>
        <v>Bradford</v>
      </c>
      <c r="M15" s="10" t="str">
        <f>VLOOKUP('Formula Workbook'!V14,Cities!$A:$B,2,FALSE)</f>
        <v>Jeannette</v>
      </c>
    </row>
    <row r="16" spans="1:13" ht="15.75" customHeight="1" x14ac:dyDescent="0.2">
      <c r="A16" s="9" t="s">
        <v>13</v>
      </c>
      <c r="B16" s="9"/>
      <c r="C16" s="9">
        <f t="shared" si="0"/>
        <v>0</v>
      </c>
      <c r="D16" s="10" t="str">
        <f>VLOOKUP('Formula Workbook'!M15,Cities!$A:$B,2,FALSE)</f>
        <v>Erie</v>
      </c>
      <c r="E16" s="10" t="str">
        <f>VLOOKUP('Formula Workbook'!N15,Cities!$A:$B,2,FALSE)</f>
        <v>Altoona</v>
      </c>
      <c r="F16" s="10" t="str">
        <f>VLOOKUP('Formula Workbook'!O15,Cities!$A:$B,2,FALSE)</f>
        <v>Greensburg</v>
      </c>
      <c r="G16" s="10" t="str">
        <f>VLOOKUP('Formula Workbook'!P15,Cities!$A:$B,2,FALSE)</f>
        <v>Butler</v>
      </c>
      <c r="H16" s="10" t="str">
        <f>VLOOKUP('Formula Workbook'!Q15,Cities!$A:$B,2,FALSE)</f>
        <v>Wilkes-Barre</v>
      </c>
      <c r="I16" s="10" t="str">
        <f>VLOOKUP('Formula Workbook'!R15,Cities!$A:$B,2,FALSE)</f>
        <v>Washington</v>
      </c>
      <c r="J16" s="10" t="str">
        <f>VLOOKUP('Formula Workbook'!S15,Cities!$A:$B,2,FALSE)</f>
        <v>Corry</v>
      </c>
      <c r="K16" s="10" t="str">
        <f>VLOOKUP('Formula Workbook'!T15,Cities!$A:$B,2,FALSE)</f>
        <v>DuBois</v>
      </c>
      <c r="L16" s="10" t="str">
        <f>VLOOKUP('Formula Workbook'!U15,Cities!$A:$B,2,FALSE)</f>
        <v>DuBois</v>
      </c>
      <c r="M16" s="10" t="str">
        <f>VLOOKUP('Formula Workbook'!V15,Cities!$A:$B,2,FALSE)</f>
        <v>Franklin</v>
      </c>
    </row>
    <row r="17" spans="1:13" ht="15.75" customHeight="1" x14ac:dyDescent="0.2">
      <c r="A17" s="9" t="s">
        <v>14</v>
      </c>
      <c r="B17" s="9"/>
      <c r="C17" s="9">
        <f t="shared" si="0"/>
        <v>0</v>
      </c>
      <c r="D17" s="10" t="str">
        <f>VLOOKUP('Formula Workbook'!M16,Cities!$A:$B,2,FALSE)</f>
        <v>Philadelphia</v>
      </c>
      <c r="E17" s="10" t="str">
        <f>VLOOKUP('Formula Workbook'!N16,Cities!$A:$B,2,FALSE)</f>
        <v>Franklin</v>
      </c>
      <c r="F17" s="10" t="str">
        <f>VLOOKUP('Formula Workbook'!O16,Cities!$A:$B,2,FALSE)</f>
        <v>Beaver Falls</v>
      </c>
      <c r="G17" s="10" t="str">
        <f>VLOOKUP('Formula Workbook'!P16,Cities!$A:$B,2,FALSE)</f>
        <v>Harrisburg</v>
      </c>
      <c r="H17" s="10" t="str">
        <f>VLOOKUP('Formula Workbook'!Q16,Cities!$A:$B,2,FALSE)</f>
        <v>Philadelphia</v>
      </c>
      <c r="I17" s="10" t="str">
        <f>VLOOKUP('Formula Workbook'!R16,Cities!$A:$B,2,FALSE)</f>
        <v>Erie</v>
      </c>
      <c r="J17" s="10" t="str">
        <f>VLOOKUP('Formula Workbook'!S16,Cities!$A:$B,2,FALSE)</f>
        <v>DuBois</v>
      </c>
      <c r="K17" s="10" t="str">
        <f>VLOOKUP('Formula Workbook'!T16,Cities!$A:$B,2,FALSE)</f>
        <v>Pittsburgh</v>
      </c>
      <c r="L17" s="10" t="str">
        <f>VLOOKUP('Formula Workbook'!U16,Cities!$A:$B,2,FALSE)</f>
        <v>DuBois</v>
      </c>
      <c r="M17" s="10" t="str">
        <f>VLOOKUP('Formula Workbook'!V16,Cities!$A:$B,2,FALSE)</f>
        <v>Franklin</v>
      </c>
    </row>
    <row r="18" spans="1:13" ht="15.75" customHeight="1" x14ac:dyDescent="0.2">
      <c r="A18" s="9" t="s">
        <v>15</v>
      </c>
      <c r="B18" s="11" t="s">
        <v>226</v>
      </c>
      <c r="C18" s="9">
        <f t="shared" si="0"/>
        <v>1</v>
      </c>
      <c r="D18" s="10" t="str">
        <f>VLOOKUP('Formula Workbook'!M17,Cities!$A:$B,2,FALSE)</f>
        <v>Butler</v>
      </c>
      <c r="E18" s="10" t="str">
        <f>VLOOKUP('Formula Workbook'!N17,Cities!$A:$B,2,FALSE)</f>
        <v>Hazleton</v>
      </c>
      <c r="F18" s="10" t="str">
        <f>VLOOKUP('Formula Workbook'!O17,Cities!$A:$B,2,FALSE)</f>
        <v>Butler</v>
      </c>
      <c r="G18" s="10" t="str">
        <f>VLOOKUP('Formula Workbook'!P17,Cities!$A:$B,2,FALSE)</f>
        <v>Chester</v>
      </c>
      <c r="H18" s="10" t="str">
        <f>VLOOKUP('Formula Workbook'!Q17,Cities!$A:$B,2,FALSE)</f>
        <v>Bradford</v>
      </c>
      <c r="I18" s="10" t="str">
        <f>VLOOKUP('Formula Workbook'!R17,Cities!$A:$B,2,FALSE)</f>
        <v>Hazleton</v>
      </c>
      <c r="J18" s="10" t="str">
        <f>VLOOKUP('Formula Workbook'!S17,Cities!$A:$B,2,FALSE)</f>
        <v>Duquesne</v>
      </c>
      <c r="K18" s="10" t="str">
        <f>VLOOKUP('Formula Workbook'!T17,Cities!$A:$B,2,FALSE)</f>
        <v>Altoona</v>
      </c>
      <c r="L18" s="10" t="str">
        <f>VLOOKUP('Formula Workbook'!U17,Cities!$A:$B,2,FALSE)</f>
        <v>Butler</v>
      </c>
      <c r="M18" s="10" t="str">
        <f>VLOOKUP('Formula Workbook'!V17,Cities!$A:$B,2,FALSE)</f>
        <v>Connellsville</v>
      </c>
    </row>
    <row r="19" spans="1:13" ht="15.75" customHeight="1" x14ac:dyDescent="0.2">
      <c r="A19" s="9" t="s">
        <v>16</v>
      </c>
      <c r="B19" s="9"/>
      <c r="C19" s="9">
        <f t="shared" si="0"/>
        <v>0</v>
      </c>
      <c r="D19" s="10" t="str">
        <f>VLOOKUP('Formula Workbook'!M18,Cities!$A:$B,2,FALSE)</f>
        <v>Corry</v>
      </c>
      <c r="E19" s="10" t="str">
        <f>VLOOKUP('Formula Workbook'!N18,Cities!$A:$B,2,FALSE)</f>
        <v>Duquesne</v>
      </c>
      <c r="F19" s="10" t="str">
        <f>VLOOKUP('Formula Workbook'!O18,Cities!$A:$B,2,FALSE)</f>
        <v>Bethlehem</v>
      </c>
      <c r="G19" s="10" t="str">
        <f>VLOOKUP('Formula Workbook'!P18,Cities!$A:$B,2,FALSE)</f>
        <v>Wilkes-Barre</v>
      </c>
      <c r="H19" s="10" t="str">
        <f>VLOOKUP('Formula Workbook'!Q18,Cities!$A:$B,2,FALSE)</f>
        <v>Erie</v>
      </c>
      <c r="I19" s="10" t="str">
        <f>VLOOKUP('Formula Workbook'!R18,Cities!$A:$B,2,FALSE)</f>
        <v>Corry</v>
      </c>
      <c r="J19" s="10" t="str">
        <f>VLOOKUP('Formula Workbook'!S18,Cities!$A:$B,2,FALSE)</f>
        <v>Clairton</v>
      </c>
      <c r="K19" s="10" t="str">
        <f>VLOOKUP('Formula Workbook'!T18,Cities!$A:$B,2,FALSE)</f>
        <v>Chester</v>
      </c>
      <c r="L19" s="10" t="str">
        <f>VLOOKUP('Formula Workbook'!U18,Cities!$A:$B,2,FALSE)</f>
        <v>Harrisburg</v>
      </c>
      <c r="M19" s="10" t="str">
        <f>VLOOKUP('Formula Workbook'!V18,Cities!$A:$B,2,FALSE)</f>
        <v>Hazleton</v>
      </c>
    </row>
    <row r="20" spans="1:13" ht="15.75" customHeight="1" x14ac:dyDescent="0.2">
      <c r="A20" s="9" t="s">
        <v>17</v>
      </c>
      <c r="B20" s="9"/>
      <c r="C20" s="9">
        <f t="shared" si="0"/>
        <v>0</v>
      </c>
      <c r="D20" s="10" t="str">
        <f>VLOOKUP('Formula Workbook'!M19,Cities!$A:$B,2,FALSE)</f>
        <v>Butler</v>
      </c>
      <c r="E20" s="10" t="str">
        <f>VLOOKUP('Formula Workbook'!N19,Cities!$A:$B,2,FALSE)</f>
        <v>Philadelphia</v>
      </c>
      <c r="F20" s="10" t="str">
        <f>VLOOKUP('Formula Workbook'!O19,Cities!$A:$B,2,FALSE)</f>
        <v>Harrisburg</v>
      </c>
      <c r="G20" s="10" t="str">
        <f>VLOOKUP('Formula Workbook'!P19,Cities!$A:$B,2,FALSE)</f>
        <v>Franklin</v>
      </c>
      <c r="H20" s="10" t="str">
        <f>VLOOKUP('Formula Workbook'!Q19,Cities!$A:$B,2,FALSE)</f>
        <v>Wilkes-Barre</v>
      </c>
      <c r="I20" s="10" t="str">
        <f>VLOOKUP('Formula Workbook'!R19,Cities!$A:$B,2,FALSE)</f>
        <v>Allentown</v>
      </c>
      <c r="J20" s="10" t="str">
        <f>VLOOKUP('Formula Workbook'!S19,Cities!$A:$B,2,FALSE)</f>
        <v>Beaver Falls</v>
      </c>
      <c r="K20" s="10" t="str">
        <f>VLOOKUP('Formula Workbook'!T19,Cities!$A:$B,2,FALSE)</f>
        <v>Easton</v>
      </c>
      <c r="L20" s="10" t="str">
        <f>VLOOKUP('Formula Workbook'!U19,Cities!$A:$B,2,FALSE)</f>
        <v>Franklin</v>
      </c>
      <c r="M20" s="10" t="str">
        <f>VLOOKUP('Formula Workbook'!V19,Cities!$A:$B,2,FALSE)</f>
        <v>Erie</v>
      </c>
    </row>
    <row r="21" spans="1:13" ht="15.75" customHeight="1" x14ac:dyDescent="0.2">
      <c r="A21" s="9" t="s">
        <v>18</v>
      </c>
      <c r="B21" s="11" t="s">
        <v>226</v>
      </c>
      <c r="C21" s="9">
        <f t="shared" si="0"/>
        <v>1</v>
      </c>
      <c r="D21" s="10" t="str">
        <f>VLOOKUP('Formula Workbook'!M20,Cities!$A:$B,2,FALSE)</f>
        <v>Greensburg</v>
      </c>
      <c r="E21" s="10" t="str">
        <f>VLOOKUP('Formula Workbook'!N20,Cities!$A:$B,2,FALSE)</f>
        <v>Butler</v>
      </c>
      <c r="F21" s="10" t="str">
        <f>VLOOKUP('Formula Workbook'!O20,Cities!$A:$B,2,FALSE)</f>
        <v>Jeannette</v>
      </c>
      <c r="G21" s="10" t="str">
        <f>VLOOKUP('Formula Workbook'!P20,Cities!$A:$B,2,FALSE)</f>
        <v>Easton</v>
      </c>
      <c r="H21" s="10" t="str">
        <f>VLOOKUP('Formula Workbook'!Q20,Cities!$A:$B,2,FALSE)</f>
        <v>Reading</v>
      </c>
      <c r="I21" s="10" t="str">
        <f>VLOOKUP('Formula Workbook'!R20,Cities!$A:$B,2,FALSE)</f>
        <v>Erie</v>
      </c>
      <c r="J21" s="10" t="str">
        <f>VLOOKUP('Formula Workbook'!S20,Cities!$A:$B,2,FALSE)</f>
        <v>Philadelphia</v>
      </c>
      <c r="K21" s="10" t="str">
        <f>VLOOKUP('Formula Workbook'!T20,Cities!$A:$B,2,FALSE)</f>
        <v>Philadelphia</v>
      </c>
      <c r="L21" s="10" t="str">
        <f>VLOOKUP('Formula Workbook'!U20,Cities!$A:$B,2,FALSE)</f>
        <v>Bradford</v>
      </c>
      <c r="M21" s="10" t="str">
        <f>VLOOKUP('Formula Workbook'!V20,Cities!$A:$B,2,FALSE)</f>
        <v>Wilkes-Barre</v>
      </c>
    </row>
    <row r="22" spans="1:13" ht="15.75" customHeight="1" x14ac:dyDescent="0.2">
      <c r="A22" s="9" t="s">
        <v>19</v>
      </c>
      <c r="B22" s="9"/>
      <c r="C22" s="9">
        <f t="shared" si="0"/>
        <v>0</v>
      </c>
      <c r="D22" s="10" t="str">
        <f>VLOOKUP('Formula Workbook'!M21,Cities!$A:$B,2,FALSE)</f>
        <v>Chester</v>
      </c>
      <c r="E22" s="10" t="str">
        <f>VLOOKUP('Formula Workbook'!N21,Cities!$A:$B,2,FALSE)</f>
        <v>Jeannette</v>
      </c>
      <c r="F22" s="10" t="str">
        <f>VLOOKUP('Formula Workbook'!O21,Cities!$A:$B,2,FALSE)</f>
        <v>Bethlehem</v>
      </c>
      <c r="G22" s="10" t="str">
        <f>VLOOKUP('Formula Workbook'!P21,Cities!$A:$B,2,FALSE)</f>
        <v>Wilkes-Barre</v>
      </c>
      <c r="H22" s="10" t="str">
        <f>VLOOKUP('Formula Workbook'!Q21,Cities!$A:$B,2,FALSE)</f>
        <v>Butler</v>
      </c>
      <c r="I22" s="10" t="str">
        <f>VLOOKUP('Formula Workbook'!R21,Cities!$A:$B,2,FALSE)</f>
        <v>Altoona</v>
      </c>
      <c r="J22" s="10" t="str">
        <f>VLOOKUP('Formula Workbook'!S21,Cities!$A:$B,2,FALSE)</f>
        <v>Franklin</v>
      </c>
      <c r="K22" s="10" t="str">
        <f>VLOOKUP('Formula Workbook'!T21,Cities!$A:$B,2,FALSE)</f>
        <v>Hazleton</v>
      </c>
      <c r="L22" s="10" t="str">
        <f>VLOOKUP('Formula Workbook'!U21,Cities!$A:$B,2,FALSE)</f>
        <v>Chester</v>
      </c>
      <c r="M22" s="10" t="str">
        <f>VLOOKUP('Formula Workbook'!V21,Cities!$A:$B,2,FALSE)</f>
        <v>Aliquippa</v>
      </c>
    </row>
    <row r="23" spans="1:13" ht="15.75" customHeight="1" x14ac:dyDescent="0.2">
      <c r="A23" s="9" t="s">
        <v>20</v>
      </c>
      <c r="B23" s="9"/>
      <c r="C23" s="9">
        <f t="shared" si="0"/>
        <v>0</v>
      </c>
      <c r="D23" s="10" t="str">
        <f>VLOOKUP('Formula Workbook'!M22,Cities!$A:$B,2,FALSE)</f>
        <v>Wilkes-Barre</v>
      </c>
      <c r="E23" s="10" t="str">
        <f>VLOOKUP('Formula Workbook'!N22,Cities!$A:$B,2,FALSE)</f>
        <v>DuBois</v>
      </c>
      <c r="F23" s="10" t="str">
        <f>VLOOKUP('Formula Workbook'!O22,Cities!$A:$B,2,FALSE)</f>
        <v>Pittsburgh</v>
      </c>
      <c r="G23" s="10" t="str">
        <f>VLOOKUP('Formula Workbook'!P22,Cities!$A:$B,2,FALSE)</f>
        <v>Corry</v>
      </c>
      <c r="H23" s="10" t="str">
        <f>VLOOKUP('Formula Workbook'!Q22,Cities!$A:$B,2,FALSE)</f>
        <v>Aliquippa</v>
      </c>
      <c r="I23" s="10" t="str">
        <f>VLOOKUP('Formula Workbook'!R22,Cities!$A:$B,2,FALSE)</f>
        <v>Erie</v>
      </c>
      <c r="J23" s="10" t="str">
        <f>VLOOKUP('Formula Workbook'!S22,Cities!$A:$B,2,FALSE)</f>
        <v>DuBois</v>
      </c>
      <c r="K23" s="10" t="str">
        <f>VLOOKUP('Formula Workbook'!T22,Cities!$A:$B,2,FALSE)</f>
        <v>Aliquippa</v>
      </c>
      <c r="L23" s="10" t="str">
        <f>VLOOKUP('Formula Workbook'!U22,Cities!$A:$B,2,FALSE)</f>
        <v>Pittsburgh</v>
      </c>
      <c r="M23" s="10" t="str">
        <f>VLOOKUP('Formula Workbook'!V22,Cities!$A:$B,2,FALSE)</f>
        <v>Aliquippa</v>
      </c>
    </row>
    <row r="24" spans="1:13" ht="15.75" customHeight="1" x14ac:dyDescent="0.2">
      <c r="A24" s="9" t="s">
        <v>21</v>
      </c>
      <c r="B24" s="9"/>
      <c r="C24" s="9">
        <f t="shared" si="0"/>
        <v>0</v>
      </c>
      <c r="D24" s="10" t="str">
        <f>VLOOKUP('Formula Workbook'!M23,Cities!$A:$B,2,FALSE)</f>
        <v>Hermitage</v>
      </c>
      <c r="E24" s="10" t="str">
        <f>VLOOKUP('Formula Workbook'!N23,Cities!$A:$B,2,FALSE)</f>
        <v>Corry</v>
      </c>
      <c r="F24" s="10" t="str">
        <f>VLOOKUP('Formula Workbook'!O23,Cities!$A:$B,2,FALSE)</f>
        <v>Wilkes-Barre</v>
      </c>
      <c r="G24" s="10" t="str">
        <f>VLOOKUP('Formula Workbook'!P23,Cities!$A:$B,2,FALSE)</f>
        <v>Hermitage</v>
      </c>
      <c r="H24" s="10" t="str">
        <f>VLOOKUP('Formula Workbook'!Q23,Cities!$A:$B,2,FALSE)</f>
        <v>Pittsburgh</v>
      </c>
      <c r="I24" s="10" t="str">
        <f>VLOOKUP('Formula Workbook'!R23,Cities!$A:$B,2,FALSE)</f>
        <v>Altoona</v>
      </c>
      <c r="J24" s="10" t="str">
        <f>VLOOKUP('Formula Workbook'!S23,Cities!$A:$B,2,FALSE)</f>
        <v>Hazleton</v>
      </c>
      <c r="K24" s="10" t="str">
        <f>VLOOKUP('Formula Workbook'!T23,Cities!$A:$B,2,FALSE)</f>
        <v>Clairton</v>
      </c>
      <c r="L24" s="10" t="str">
        <f>VLOOKUP('Formula Workbook'!U23,Cities!$A:$B,2,FALSE)</f>
        <v>Wilkes-Barre</v>
      </c>
      <c r="M24" s="10" t="str">
        <f>VLOOKUP('Formula Workbook'!V23,Cities!$A:$B,2,FALSE)</f>
        <v>Clairton</v>
      </c>
    </row>
    <row r="25" spans="1:13" ht="15.75" customHeight="1" x14ac:dyDescent="0.2">
      <c r="A25" s="9" t="s">
        <v>22</v>
      </c>
      <c r="B25" s="9"/>
      <c r="C25" s="9">
        <f t="shared" si="0"/>
        <v>0</v>
      </c>
      <c r="D25" s="10" t="str">
        <f>VLOOKUP('Formula Workbook'!M24,Cities!$A:$B,2,FALSE)</f>
        <v>Bethlehem</v>
      </c>
      <c r="E25" s="10" t="str">
        <f>VLOOKUP('Formula Workbook'!N24,Cities!$A:$B,2,FALSE)</f>
        <v>Chester</v>
      </c>
      <c r="F25" s="10" t="str">
        <f>VLOOKUP('Formula Workbook'!O24,Cities!$A:$B,2,FALSE)</f>
        <v>Allentown</v>
      </c>
      <c r="G25" s="10" t="str">
        <f>VLOOKUP('Formula Workbook'!P24,Cities!$A:$B,2,FALSE)</f>
        <v>Aliquippa</v>
      </c>
      <c r="H25" s="10" t="str">
        <f>VLOOKUP('Formula Workbook'!Q24,Cities!$A:$B,2,FALSE)</f>
        <v>Wilkes-Barre</v>
      </c>
      <c r="I25" s="10" t="str">
        <f>VLOOKUP('Formula Workbook'!R24,Cities!$A:$B,2,FALSE)</f>
        <v>Duquesne</v>
      </c>
      <c r="J25" s="10" t="str">
        <f>VLOOKUP('Formula Workbook'!S24,Cities!$A:$B,2,FALSE)</f>
        <v>Duquesne</v>
      </c>
      <c r="K25" s="10" t="str">
        <f>VLOOKUP('Formula Workbook'!T24,Cities!$A:$B,2,FALSE)</f>
        <v>Hermitage</v>
      </c>
      <c r="L25" s="10" t="str">
        <f>VLOOKUP('Formula Workbook'!U24,Cities!$A:$B,2,FALSE)</f>
        <v>Jeannette</v>
      </c>
      <c r="M25" s="10" t="str">
        <f>VLOOKUP('Formula Workbook'!V24,Cities!$A:$B,2,FALSE)</f>
        <v>Altoona</v>
      </c>
    </row>
    <row r="26" spans="1:13" ht="15.75" customHeight="1" x14ac:dyDescent="0.2">
      <c r="A26" s="9" t="s">
        <v>23</v>
      </c>
      <c r="B26" s="9"/>
      <c r="C26" s="9">
        <f t="shared" si="0"/>
        <v>0</v>
      </c>
      <c r="D26" s="10" t="str">
        <f>VLOOKUP('Formula Workbook'!M25,Cities!$A:$B,2,FALSE)</f>
        <v>Duquesne</v>
      </c>
      <c r="E26" s="10" t="str">
        <f>VLOOKUP('Formula Workbook'!N25,Cities!$A:$B,2,FALSE)</f>
        <v>DuBois</v>
      </c>
      <c r="F26" s="10" t="str">
        <f>VLOOKUP('Formula Workbook'!O25,Cities!$A:$B,2,FALSE)</f>
        <v>Duquesne</v>
      </c>
      <c r="G26" s="10" t="str">
        <f>VLOOKUP('Formula Workbook'!P25,Cities!$A:$B,2,FALSE)</f>
        <v>Hermitage</v>
      </c>
      <c r="H26" s="10" t="str">
        <f>VLOOKUP('Formula Workbook'!Q25,Cities!$A:$B,2,FALSE)</f>
        <v>Harrisburg</v>
      </c>
      <c r="I26" s="10" t="str">
        <f>VLOOKUP('Formula Workbook'!R25,Cities!$A:$B,2,FALSE)</f>
        <v>Allentown</v>
      </c>
      <c r="J26" s="10" t="str">
        <f>VLOOKUP('Formula Workbook'!S25,Cities!$A:$B,2,FALSE)</f>
        <v>Aliquippa</v>
      </c>
      <c r="K26" s="10" t="str">
        <f>VLOOKUP('Formula Workbook'!T25,Cities!$A:$B,2,FALSE)</f>
        <v>Hazleton</v>
      </c>
      <c r="L26" s="10" t="str">
        <f>VLOOKUP('Formula Workbook'!U25,Cities!$A:$B,2,FALSE)</f>
        <v>Connellsville</v>
      </c>
      <c r="M26" s="10" t="str">
        <f>VLOOKUP('Formula Workbook'!V25,Cities!$A:$B,2,FALSE)</f>
        <v>Hazleton</v>
      </c>
    </row>
    <row r="27" spans="1:13" ht="15.75" customHeight="1" x14ac:dyDescent="0.2">
      <c r="A27" s="9" t="s">
        <v>24</v>
      </c>
      <c r="B27" s="9"/>
      <c r="C27" s="9">
        <f t="shared" si="0"/>
        <v>0</v>
      </c>
      <c r="D27" s="10" t="str">
        <f>VLOOKUP('Formula Workbook'!M26,Cities!$A:$B,2,FALSE)</f>
        <v>Harrisburg</v>
      </c>
      <c r="E27" s="10" t="str">
        <f>VLOOKUP('Formula Workbook'!N26,Cities!$A:$B,2,FALSE)</f>
        <v>DuBois</v>
      </c>
      <c r="F27" s="10" t="str">
        <f>VLOOKUP('Formula Workbook'!O26,Cities!$A:$B,2,FALSE)</f>
        <v>Pittsburgh</v>
      </c>
      <c r="G27" s="10" t="str">
        <f>VLOOKUP('Formula Workbook'!P26,Cities!$A:$B,2,FALSE)</f>
        <v>Reading</v>
      </c>
      <c r="H27" s="10" t="str">
        <f>VLOOKUP('Formula Workbook'!Q26,Cities!$A:$B,2,FALSE)</f>
        <v>Allentown</v>
      </c>
      <c r="I27" s="10" t="str">
        <f>VLOOKUP('Formula Workbook'!R26,Cities!$A:$B,2,FALSE)</f>
        <v>Hermitage</v>
      </c>
      <c r="J27" s="10" t="str">
        <f>VLOOKUP('Formula Workbook'!S26,Cities!$A:$B,2,FALSE)</f>
        <v>Washington</v>
      </c>
      <c r="K27" s="10" t="str">
        <f>VLOOKUP('Formula Workbook'!T26,Cities!$A:$B,2,FALSE)</f>
        <v>Allentown</v>
      </c>
      <c r="L27" s="10" t="str">
        <f>VLOOKUP('Formula Workbook'!U26,Cities!$A:$B,2,FALSE)</f>
        <v>Franklin</v>
      </c>
      <c r="M27" s="10" t="str">
        <f>VLOOKUP('Formula Workbook'!V26,Cities!$A:$B,2,FALSE)</f>
        <v>Bethlehem</v>
      </c>
    </row>
    <row r="28" spans="1:13" ht="15.75" customHeight="1" x14ac:dyDescent="0.2">
      <c r="A28" s="9" t="s">
        <v>25</v>
      </c>
      <c r="B28" s="9"/>
      <c r="C28" s="9">
        <f t="shared" si="0"/>
        <v>0</v>
      </c>
      <c r="D28" s="10" t="str">
        <f>VLOOKUP('Formula Workbook'!M27,Cities!$A:$B,2,FALSE)</f>
        <v>Clairton</v>
      </c>
      <c r="E28" s="10" t="str">
        <f>VLOOKUP('Formula Workbook'!N27,Cities!$A:$B,2,FALSE)</f>
        <v>Easton</v>
      </c>
      <c r="F28" s="10" t="str">
        <f>VLOOKUP('Formula Workbook'!O27,Cities!$A:$B,2,FALSE)</f>
        <v>Aliquippa</v>
      </c>
      <c r="G28" s="10" t="str">
        <f>VLOOKUP('Formula Workbook'!P27,Cities!$A:$B,2,FALSE)</f>
        <v>Allentown</v>
      </c>
      <c r="H28" s="10" t="str">
        <f>VLOOKUP('Formula Workbook'!Q27,Cities!$A:$B,2,FALSE)</f>
        <v>Connellsville</v>
      </c>
      <c r="I28" s="10" t="str">
        <f>VLOOKUP('Formula Workbook'!R27,Cities!$A:$B,2,FALSE)</f>
        <v>Jeannette</v>
      </c>
      <c r="J28" s="10" t="str">
        <f>VLOOKUP('Formula Workbook'!S27,Cities!$A:$B,2,FALSE)</f>
        <v>Jeannette</v>
      </c>
      <c r="K28" s="10" t="str">
        <f>VLOOKUP('Formula Workbook'!T27,Cities!$A:$B,2,FALSE)</f>
        <v>Connellsville</v>
      </c>
      <c r="L28" s="10" t="str">
        <f>VLOOKUP('Formula Workbook'!U27,Cities!$A:$B,2,FALSE)</f>
        <v>Wilkes-Barre</v>
      </c>
      <c r="M28" s="10" t="str">
        <f>VLOOKUP('Formula Workbook'!V27,Cities!$A:$B,2,FALSE)</f>
        <v>Chester</v>
      </c>
    </row>
  </sheetData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8"/>
  <sheetViews>
    <sheetView zoomScale="190" zoomScaleNormal="190" workbookViewId="0">
      <selection activeCell="E8" sqref="E8"/>
    </sheetView>
  </sheetViews>
  <sheetFormatPr defaultRowHeight="12" x14ac:dyDescent="0.2"/>
  <cols>
    <col min="1" max="1" width="7.42578125" style="8" customWidth="1"/>
    <col min="2" max="2" width="7.85546875" style="8" customWidth="1"/>
    <col min="3" max="3" width="1.42578125" style="8" hidden="1" customWidth="1"/>
    <col min="4" max="13" width="10.28515625" style="8" customWidth="1"/>
    <col min="14" max="16384" width="9.140625" style="8"/>
  </cols>
  <sheetData>
    <row r="1" spans="1:13" ht="28.5" customHeight="1" x14ac:dyDescent="0.2">
      <c r="G1" s="8" t="s">
        <v>218</v>
      </c>
      <c r="J1" s="8" t="s">
        <v>223</v>
      </c>
    </row>
    <row r="2" spans="1:13" x14ac:dyDescent="0.2">
      <c r="A2" s="8" t="s">
        <v>52</v>
      </c>
      <c r="C2" s="8" t="s">
        <v>211</v>
      </c>
      <c r="D2" s="8" t="s">
        <v>143</v>
      </c>
      <c r="E2" s="8" t="s">
        <v>144</v>
      </c>
      <c r="F2" s="8" t="s">
        <v>145</v>
      </c>
      <c r="G2" s="8" t="s">
        <v>146</v>
      </c>
      <c r="H2" s="8" t="s">
        <v>147</v>
      </c>
      <c r="I2" s="8" t="s">
        <v>148</v>
      </c>
      <c r="J2" s="8" t="s">
        <v>149</v>
      </c>
      <c r="K2" s="8" t="s">
        <v>150</v>
      </c>
      <c r="L2" s="8" t="s">
        <v>151</v>
      </c>
      <c r="M2" s="8" t="s">
        <v>152</v>
      </c>
    </row>
    <row r="3" spans="1:13" ht="15.75" customHeight="1" x14ac:dyDescent="0.2">
      <c r="A3" s="9" t="s">
        <v>0</v>
      </c>
      <c r="B3" s="9"/>
      <c r="C3" s="9">
        <f>COUNTIF(D3:M3,$C$2)</f>
        <v>0</v>
      </c>
      <c r="D3" s="10" t="str">
        <f>VLOOKUP('Formula Workbook'!C2,Cities!$A:$B,2,FALSE)</f>
        <v>Pittsburgh</v>
      </c>
      <c r="E3" s="10" t="str">
        <f>VLOOKUP('Formula Workbook'!D2,Cities!$A:$B,2,FALSE)</f>
        <v>Erie</v>
      </c>
      <c r="F3" s="10" t="str">
        <f>VLOOKUP('Formula Workbook'!E2,Cities!$A:$B,2,FALSE)</f>
        <v>Clairton</v>
      </c>
      <c r="G3" s="10" t="str">
        <f>VLOOKUP('Formula Workbook'!F2,Cities!$A:$B,2,FALSE)</f>
        <v>Chester</v>
      </c>
      <c r="H3" s="10" t="str">
        <f>VLOOKUP('Formula Workbook'!G2,Cities!$A:$B,2,FALSE)</f>
        <v>Harrisburg</v>
      </c>
      <c r="I3" s="10" t="str">
        <f>VLOOKUP('Formula Workbook'!H2,Cities!$A:$B,2,FALSE)</f>
        <v>Easton</v>
      </c>
      <c r="J3" s="10" t="str">
        <f>VLOOKUP('Formula Workbook'!I2,Cities!$A:$B,2,FALSE)</f>
        <v>Hermitage</v>
      </c>
      <c r="K3" s="10" t="str">
        <f>VLOOKUP('Formula Workbook'!J2,Cities!$A:$B,2,FALSE)</f>
        <v>Pittsburgh</v>
      </c>
      <c r="L3" s="10" t="str">
        <f>VLOOKUP('Formula Workbook'!K2,Cities!$A:$B,2,FALSE)</f>
        <v>Beaver Falls</v>
      </c>
      <c r="M3" s="10" t="str">
        <f>VLOOKUP('Formula Workbook'!L2,Cities!$A:$B,2,FALSE)</f>
        <v>Altoona</v>
      </c>
    </row>
    <row r="4" spans="1:13" ht="15.75" customHeight="1" x14ac:dyDescent="0.2">
      <c r="A4" s="9" t="s">
        <v>1</v>
      </c>
      <c r="B4" s="9"/>
      <c r="C4" s="9">
        <f t="shared" ref="C4:C28" si="0">COUNTIF(D4:M4,$C$2)</f>
        <v>0</v>
      </c>
      <c r="D4" s="10" t="str">
        <f>VLOOKUP('Formula Workbook'!C3,Cities!$A:$B,2,FALSE)</f>
        <v>Corry</v>
      </c>
      <c r="E4" s="10" t="str">
        <f>VLOOKUP('Formula Workbook'!D3,Cities!$A:$B,2,FALSE)</f>
        <v>Altoona</v>
      </c>
      <c r="F4" s="10" t="str">
        <f>VLOOKUP('Formula Workbook'!E3,Cities!$A:$B,2,FALSE)</f>
        <v>Beaver Falls</v>
      </c>
      <c r="G4" s="10" t="str">
        <f>VLOOKUP('Formula Workbook'!F3,Cities!$A:$B,2,FALSE)</f>
        <v>Jeannette</v>
      </c>
      <c r="H4" s="10" t="str">
        <f>VLOOKUP('Formula Workbook'!G3,Cities!$A:$B,2,FALSE)</f>
        <v>Bradford</v>
      </c>
      <c r="I4" s="10" t="str">
        <f>VLOOKUP('Formula Workbook'!H3,Cities!$A:$B,2,FALSE)</f>
        <v>Beaver Falls</v>
      </c>
      <c r="J4" s="10" t="str">
        <f>VLOOKUP('Formula Workbook'!I3,Cities!$A:$B,2,FALSE)</f>
        <v>Reading</v>
      </c>
      <c r="K4" s="10" t="s">
        <v>128</v>
      </c>
      <c r="L4" s="10" t="str">
        <f>VLOOKUP('Formula Workbook'!K3,Cities!$A:$B,2,FALSE)</f>
        <v>Duquesne</v>
      </c>
      <c r="M4" s="10" t="str">
        <f>VLOOKUP('Formula Workbook'!L3,Cities!$A:$B,2,FALSE)</f>
        <v>Allentown</v>
      </c>
    </row>
    <row r="5" spans="1:13" ht="15.75" customHeight="1" x14ac:dyDescent="0.2">
      <c r="A5" s="9" t="s">
        <v>2</v>
      </c>
      <c r="B5" s="11" t="s">
        <v>239</v>
      </c>
      <c r="C5" s="9">
        <f t="shared" si="0"/>
        <v>1</v>
      </c>
      <c r="D5" s="10" t="str">
        <f>VLOOKUP('Formula Workbook'!C4,Cities!$A:$B,2,FALSE)</f>
        <v>Allentown</v>
      </c>
      <c r="E5" s="10" t="str">
        <f>VLOOKUP('Formula Workbook'!D4,Cities!$A:$B,2,FALSE)</f>
        <v>Aliquippa</v>
      </c>
      <c r="F5" s="10" t="str">
        <f>VLOOKUP('Formula Workbook'!E4,Cities!$A:$B,2,FALSE)</f>
        <v>Reading</v>
      </c>
      <c r="G5" s="10" t="str">
        <f>VLOOKUP('Formula Workbook'!F4,Cities!$A:$B,2,FALSE)</f>
        <v>Bethlehem</v>
      </c>
      <c r="H5" s="10" t="s">
        <v>128</v>
      </c>
      <c r="I5" s="10" t="str">
        <f>VLOOKUP('Formula Workbook'!H4,Cities!$A:$B,2,FALSE)</f>
        <v>Harrisburg</v>
      </c>
      <c r="J5" s="10" t="str">
        <f>VLOOKUP('Formula Workbook'!I4,Cities!$A:$B,2,FALSE)</f>
        <v>Washington</v>
      </c>
      <c r="K5" s="10" t="str">
        <f>VLOOKUP('Formula Workbook'!J4,Cities!$A:$B,2,FALSE)</f>
        <v>Connellsville</v>
      </c>
      <c r="L5" s="10" t="str">
        <f>VLOOKUP('Formula Workbook'!K4,Cities!$A:$B,2,FALSE)</f>
        <v>Clairton</v>
      </c>
      <c r="M5" s="10" t="str">
        <f>VLOOKUP('Formula Workbook'!L4,Cities!$A:$B,2,FALSE)</f>
        <v>Duquesne</v>
      </c>
    </row>
    <row r="6" spans="1:13" ht="15.75" customHeight="1" x14ac:dyDescent="0.2">
      <c r="A6" s="9" t="s">
        <v>3</v>
      </c>
      <c r="B6" s="9"/>
      <c r="C6" s="9">
        <f t="shared" si="0"/>
        <v>0</v>
      </c>
      <c r="D6" s="10" t="str">
        <f>VLOOKUP('Formula Workbook'!C5,Cities!$A:$B,2,FALSE)</f>
        <v>Hermitage</v>
      </c>
      <c r="E6" s="10" t="str">
        <f>VLOOKUP('Formula Workbook'!D5,Cities!$A:$B,2,FALSE)</f>
        <v>Harrisburg</v>
      </c>
      <c r="F6" s="10" t="str">
        <f>VLOOKUP('Formula Workbook'!E5,Cities!$A:$B,2,FALSE)</f>
        <v>Corry</v>
      </c>
      <c r="G6" s="10" t="str">
        <f>VLOOKUP('Formula Workbook'!F5,Cities!$A:$B,2,FALSE)</f>
        <v>Bethlehem</v>
      </c>
      <c r="H6" s="10" t="str">
        <f>VLOOKUP('Formula Workbook'!G5,Cities!$A:$B,2,FALSE)</f>
        <v>Franklin</v>
      </c>
      <c r="I6" s="10" t="str">
        <f>VLOOKUP('Formula Workbook'!H5,Cities!$A:$B,2,FALSE)</f>
        <v>Connellsville</v>
      </c>
      <c r="J6" s="10" t="s">
        <v>128</v>
      </c>
      <c r="K6" s="10" t="str">
        <f>VLOOKUP('Formula Workbook'!J5,Cities!$A:$B,2,FALSE)</f>
        <v>Harrisburg</v>
      </c>
      <c r="L6" s="10" t="str">
        <f>VLOOKUP('Formula Workbook'!K5,Cities!$A:$B,2,FALSE)</f>
        <v>Hermitage</v>
      </c>
      <c r="M6" s="10" t="str">
        <f>VLOOKUP('Formula Workbook'!L5,Cities!$A:$B,2,FALSE)</f>
        <v>Beaver Falls</v>
      </c>
    </row>
    <row r="7" spans="1:13" ht="15.75" customHeight="1" x14ac:dyDescent="0.2">
      <c r="A7" s="9" t="s">
        <v>4</v>
      </c>
      <c r="B7" s="11" t="s">
        <v>239</v>
      </c>
      <c r="C7" s="9">
        <f t="shared" si="0"/>
        <v>1</v>
      </c>
      <c r="D7" s="10" t="str">
        <f>VLOOKUP('Formula Workbook'!C6,Cities!$A:$B,2,FALSE)</f>
        <v>Washington</v>
      </c>
      <c r="E7" s="10" t="str">
        <f>VLOOKUP('Formula Workbook'!D6,Cities!$A:$B,2,FALSE)</f>
        <v>Harrisburg</v>
      </c>
      <c r="F7" s="10" t="str">
        <f>VLOOKUP('Formula Workbook'!E6,Cities!$A:$B,2,FALSE)</f>
        <v>Franklin</v>
      </c>
      <c r="G7" s="10" t="str">
        <f>VLOOKUP('Formula Workbook'!F6,Cities!$A:$B,2,FALSE)</f>
        <v>Bradford</v>
      </c>
      <c r="H7" s="10" t="str">
        <f>VLOOKUP('Formula Workbook'!G6,Cities!$A:$B,2,FALSE)</f>
        <v>Butler</v>
      </c>
      <c r="I7" s="10" t="str">
        <f>VLOOKUP('Formula Workbook'!H6,Cities!$A:$B,2,FALSE)</f>
        <v>Bradford</v>
      </c>
      <c r="J7" s="10" t="str">
        <f>VLOOKUP('Formula Workbook'!I6,Cities!$A:$B,2,FALSE)</f>
        <v>Connellsville</v>
      </c>
      <c r="K7" s="10" t="str">
        <f>VLOOKUP('Formula Workbook'!J6,Cities!$A:$B,2,FALSE)</f>
        <v>Erie</v>
      </c>
      <c r="L7" s="10" t="str">
        <f>VLOOKUP('Formula Workbook'!K6,Cities!$A:$B,2,FALSE)</f>
        <v>Altoona</v>
      </c>
      <c r="M7" s="10" t="str">
        <f>VLOOKUP('Formula Workbook'!L6,Cities!$A:$B,2,FALSE)</f>
        <v>Reading</v>
      </c>
    </row>
    <row r="8" spans="1:13" ht="15.75" customHeight="1" x14ac:dyDescent="0.2">
      <c r="A8" s="9" t="s">
        <v>5</v>
      </c>
      <c r="B8" s="11" t="s">
        <v>239</v>
      </c>
      <c r="C8" s="9">
        <f t="shared" si="0"/>
        <v>1</v>
      </c>
      <c r="D8" s="10" t="str">
        <f>VLOOKUP('Formula Workbook'!C7,Cities!$A:$B,2,FALSE)</f>
        <v>Altoona</v>
      </c>
      <c r="E8" s="10" t="str">
        <f>VLOOKUP('Formula Workbook'!D7,Cities!$A:$B,2,FALSE)</f>
        <v>Easton</v>
      </c>
      <c r="F8" s="10" t="str">
        <f>VLOOKUP('Formula Workbook'!E7,Cities!$A:$B,2,FALSE)</f>
        <v>DuBois</v>
      </c>
      <c r="G8" s="10" t="str">
        <f>VLOOKUP('Formula Workbook'!F7,Cities!$A:$B,2,FALSE)</f>
        <v>Bradford</v>
      </c>
      <c r="H8" s="10" t="str">
        <f>VLOOKUP('Formula Workbook'!G7,Cities!$A:$B,2,FALSE)</f>
        <v>Easton</v>
      </c>
      <c r="I8" s="10" t="str">
        <f>VLOOKUP('Formula Workbook'!H7,Cities!$A:$B,2,FALSE)</f>
        <v>Aliquippa</v>
      </c>
      <c r="J8" s="10" t="str">
        <f>VLOOKUP('Formula Workbook'!I7,Cities!$A:$B,2,FALSE)</f>
        <v>Erie</v>
      </c>
      <c r="K8" s="10" t="str">
        <f>VLOOKUP('Formula Workbook'!J7,Cities!$A:$B,2,FALSE)</f>
        <v>Washington</v>
      </c>
      <c r="L8" s="10" t="str">
        <f>VLOOKUP('Formula Workbook'!K7,Cities!$A:$B,2,FALSE)</f>
        <v>Clairton</v>
      </c>
      <c r="M8" s="10" t="str">
        <f>VLOOKUP('Formula Workbook'!L7,Cities!$A:$B,2,FALSE)</f>
        <v>Philadelphia</v>
      </c>
    </row>
    <row r="9" spans="1:13" ht="15.75" customHeight="1" x14ac:dyDescent="0.2">
      <c r="A9" s="9" t="s">
        <v>6</v>
      </c>
      <c r="B9" s="9"/>
      <c r="C9" s="9">
        <f t="shared" si="0"/>
        <v>0</v>
      </c>
      <c r="D9" s="10" t="s">
        <v>128</v>
      </c>
      <c r="E9" s="10" t="str">
        <f>VLOOKUP('Formula Workbook'!D8,Cities!$A:$B,2,FALSE)</f>
        <v>Hermitage</v>
      </c>
      <c r="F9" s="10" t="str">
        <f>VLOOKUP('Formula Workbook'!E8,Cities!$A:$B,2,FALSE)</f>
        <v>Bethlehem</v>
      </c>
      <c r="G9" s="10" t="str">
        <f>VLOOKUP('Formula Workbook'!F8,Cities!$A:$B,2,FALSE)</f>
        <v>Chester</v>
      </c>
      <c r="H9" s="10" t="str">
        <f>VLOOKUP('Formula Workbook'!G8,Cities!$A:$B,2,FALSE)</f>
        <v>Hazleton</v>
      </c>
      <c r="I9" s="10" t="str">
        <f>VLOOKUP('Formula Workbook'!H8,Cities!$A:$B,2,FALSE)</f>
        <v>Franklin</v>
      </c>
      <c r="J9" s="10" t="str">
        <f>VLOOKUP('Formula Workbook'!I8,Cities!$A:$B,2,FALSE)</f>
        <v>Clairton</v>
      </c>
      <c r="K9" s="10" t="str">
        <f>VLOOKUP('Formula Workbook'!J8,Cities!$A:$B,2,FALSE)</f>
        <v>Harrisburg</v>
      </c>
      <c r="L9" s="10" t="str">
        <f>VLOOKUP('Formula Workbook'!K8,Cities!$A:$B,2,FALSE)</f>
        <v>Aliquippa</v>
      </c>
      <c r="M9" s="10" t="str">
        <f>VLOOKUP('Formula Workbook'!L8,Cities!$A:$B,2,FALSE)</f>
        <v>Greensburg</v>
      </c>
    </row>
    <row r="10" spans="1:13" ht="15.75" customHeight="1" x14ac:dyDescent="0.2">
      <c r="A10" s="9" t="s">
        <v>7</v>
      </c>
      <c r="B10" s="9"/>
      <c r="C10" s="9">
        <f t="shared" si="0"/>
        <v>0</v>
      </c>
      <c r="D10" s="10" t="str">
        <f>VLOOKUP('Formula Workbook'!C9,Cities!$A:$B,2,FALSE)</f>
        <v>Duquesne</v>
      </c>
      <c r="E10" s="10" t="str">
        <f>VLOOKUP('Formula Workbook'!D9,Cities!$A:$B,2,FALSE)</f>
        <v>Reading</v>
      </c>
      <c r="F10" s="10" t="str">
        <f>VLOOKUP('Formula Workbook'!E9,Cities!$A:$B,2,FALSE)</f>
        <v>Beaver Falls</v>
      </c>
      <c r="G10" s="10" t="str">
        <f>VLOOKUP('Formula Workbook'!F9,Cities!$A:$B,2,FALSE)</f>
        <v>Philadelphia</v>
      </c>
      <c r="H10" s="10" t="str">
        <f>VLOOKUP('Formula Workbook'!G9,Cities!$A:$B,2,FALSE)</f>
        <v>Erie</v>
      </c>
      <c r="I10" s="10" t="str">
        <f>VLOOKUP('Formula Workbook'!H9,Cities!$A:$B,2,FALSE)</f>
        <v>DuBois</v>
      </c>
      <c r="J10" s="10" t="str">
        <f>VLOOKUP('Formula Workbook'!I9,Cities!$A:$B,2,FALSE)</f>
        <v>Erie</v>
      </c>
      <c r="K10" s="10" t="str">
        <f>VLOOKUP('Formula Workbook'!J9,Cities!$A:$B,2,FALSE)</f>
        <v>Franklin</v>
      </c>
      <c r="L10" s="10" t="str">
        <f>VLOOKUP('Formula Workbook'!K9,Cities!$A:$B,2,FALSE)</f>
        <v>Beaver Falls</v>
      </c>
      <c r="M10" s="10" t="str">
        <f>VLOOKUP('Formula Workbook'!L9,Cities!$A:$B,2,FALSE)</f>
        <v>Chester</v>
      </c>
    </row>
    <row r="11" spans="1:13" ht="15.75" customHeight="1" x14ac:dyDescent="0.2">
      <c r="A11" s="9" t="s">
        <v>8</v>
      </c>
      <c r="B11" s="11" t="s">
        <v>239</v>
      </c>
      <c r="C11" s="9">
        <f t="shared" si="0"/>
        <v>1</v>
      </c>
      <c r="D11" s="10" t="str">
        <f>VLOOKUP('Formula Workbook'!C10,Cities!$A:$B,2,FALSE)</f>
        <v>Chester</v>
      </c>
      <c r="E11" s="10" t="str">
        <f>VLOOKUP('Formula Workbook'!D10,Cities!$A:$B,2,FALSE)</f>
        <v>Washington</v>
      </c>
      <c r="F11" s="10" t="str">
        <f>VLOOKUP('Formula Workbook'!E10,Cities!$A:$B,2,FALSE)</f>
        <v>Duquesne</v>
      </c>
      <c r="G11" s="10" t="str">
        <f>VLOOKUP('Formula Workbook'!F10,Cities!$A:$B,2,FALSE)</f>
        <v>Bradford</v>
      </c>
      <c r="H11" s="10" t="str">
        <f>VLOOKUP('Formula Workbook'!G10,Cities!$A:$B,2,FALSE)</f>
        <v>Hazleton</v>
      </c>
      <c r="I11" s="10" t="str">
        <f>VLOOKUP('Formula Workbook'!H10,Cities!$A:$B,2,FALSE)</f>
        <v>Easton</v>
      </c>
      <c r="J11" s="10" t="str">
        <f>VLOOKUP('Formula Workbook'!I10,Cities!$A:$B,2,FALSE)</f>
        <v>Franklin</v>
      </c>
      <c r="K11" s="10" t="str">
        <f>VLOOKUP('Formula Workbook'!J10,Cities!$A:$B,2,FALSE)</f>
        <v>Connellsville</v>
      </c>
      <c r="L11" s="10" t="str">
        <f>VLOOKUP('Formula Workbook'!K10,Cities!$A:$B,2,FALSE)</f>
        <v>Chester</v>
      </c>
      <c r="M11" s="10" t="str">
        <f>VLOOKUP('Formula Workbook'!L10,Cities!$A:$B,2,FALSE)</f>
        <v>Bradford</v>
      </c>
    </row>
    <row r="12" spans="1:13" ht="15.75" customHeight="1" x14ac:dyDescent="0.2">
      <c r="A12" s="9" t="s">
        <v>9</v>
      </c>
      <c r="B12" s="9"/>
      <c r="C12" s="9">
        <f t="shared" si="0"/>
        <v>0</v>
      </c>
      <c r="D12" s="10" t="str">
        <f>VLOOKUP('Formula Workbook'!C11,Cities!$A:$B,2,FALSE)</f>
        <v>Altoona</v>
      </c>
      <c r="E12" s="10" t="str">
        <f>VLOOKUP('Formula Workbook'!D11,Cities!$A:$B,2,FALSE)</f>
        <v>Aliquippa</v>
      </c>
      <c r="F12" s="10" t="str">
        <f>VLOOKUP('Formula Workbook'!E11,Cities!$A:$B,2,FALSE)</f>
        <v>Greensburg</v>
      </c>
      <c r="G12" s="10" t="str">
        <f>VLOOKUP('Formula Workbook'!F11,Cities!$A:$B,2,FALSE)</f>
        <v>Connellsville</v>
      </c>
      <c r="H12" s="10" t="str">
        <f>VLOOKUP('Formula Workbook'!G11,Cities!$A:$B,2,FALSE)</f>
        <v>Franklin</v>
      </c>
      <c r="I12" s="10" t="str">
        <f>VLOOKUP('Formula Workbook'!H11,Cities!$A:$B,2,FALSE)</f>
        <v>Franklin</v>
      </c>
      <c r="J12" s="10" t="str">
        <f>VLOOKUP('Formula Workbook'!I11,Cities!$A:$B,2,FALSE)</f>
        <v>Corry</v>
      </c>
      <c r="K12" s="10" t="str">
        <f>VLOOKUP('Formula Workbook'!J11,Cities!$A:$B,2,FALSE)</f>
        <v>Altoona</v>
      </c>
      <c r="L12" s="10" t="str">
        <f>VLOOKUP('Formula Workbook'!K11,Cities!$A:$B,2,FALSE)</f>
        <v>Philadelphia</v>
      </c>
      <c r="M12" s="10" t="str">
        <f>VLOOKUP('Formula Workbook'!L11,Cities!$A:$B,2,FALSE)</f>
        <v>Corry</v>
      </c>
    </row>
    <row r="13" spans="1:13" ht="15.75" customHeight="1" x14ac:dyDescent="0.2">
      <c r="A13" s="9" t="s">
        <v>10</v>
      </c>
      <c r="B13" s="9"/>
      <c r="C13" s="9">
        <f t="shared" si="0"/>
        <v>0</v>
      </c>
      <c r="D13" s="10" t="str">
        <f>VLOOKUP('Formula Workbook'!C12,Cities!$A:$B,2,FALSE)</f>
        <v>Bethlehem</v>
      </c>
      <c r="E13" s="10" t="str">
        <f>VLOOKUP('Formula Workbook'!D12,Cities!$A:$B,2,FALSE)</f>
        <v>DuBois</v>
      </c>
      <c r="F13" s="10" t="str">
        <f>VLOOKUP('Formula Workbook'!E12,Cities!$A:$B,2,FALSE)</f>
        <v>Corry</v>
      </c>
      <c r="G13" s="10" t="str">
        <f>VLOOKUP('Formula Workbook'!F12,Cities!$A:$B,2,FALSE)</f>
        <v>Altoona</v>
      </c>
      <c r="H13" s="10" t="str">
        <f>VLOOKUP('Formula Workbook'!G12,Cities!$A:$B,2,FALSE)</f>
        <v>Allentown</v>
      </c>
      <c r="I13" s="10" t="str">
        <f>VLOOKUP('Formula Workbook'!H12,Cities!$A:$B,2,FALSE)</f>
        <v>Hermitage</v>
      </c>
      <c r="J13" s="10" t="str">
        <f>VLOOKUP('Formula Workbook'!I12,Cities!$A:$B,2,FALSE)</f>
        <v>Hazleton</v>
      </c>
      <c r="K13" s="10" t="str">
        <f>VLOOKUP('Formula Workbook'!J12,Cities!$A:$B,2,FALSE)</f>
        <v>Pittsburgh</v>
      </c>
      <c r="L13" s="10" t="str">
        <f>VLOOKUP('Formula Workbook'!K12,Cities!$A:$B,2,FALSE)</f>
        <v>Bradford</v>
      </c>
      <c r="M13" s="10" t="str">
        <f>VLOOKUP('Formula Workbook'!L12,Cities!$A:$B,2,FALSE)</f>
        <v>Erie</v>
      </c>
    </row>
    <row r="14" spans="1:13" ht="15.75" customHeight="1" x14ac:dyDescent="0.2">
      <c r="A14" s="9" t="s">
        <v>11</v>
      </c>
      <c r="B14" s="9"/>
      <c r="C14" s="9">
        <f t="shared" si="0"/>
        <v>0</v>
      </c>
      <c r="D14" s="10" t="str">
        <f>VLOOKUP('Formula Workbook'!C13,Cities!$A:$B,2,FALSE)</f>
        <v>Easton</v>
      </c>
      <c r="E14" s="10" t="str">
        <f>VLOOKUP('Formula Workbook'!D13,Cities!$A:$B,2,FALSE)</f>
        <v>Corry</v>
      </c>
      <c r="F14" s="10" t="str">
        <f>VLOOKUP('Formula Workbook'!E13,Cities!$A:$B,2,FALSE)</f>
        <v>Beaver Falls</v>
      </c>
      <c r="G14" s="10" t="str">
        <f>VLOOKUP('Formula Workbook'!F13,Cities!$A:$B,2,FALSE)</f>
        <v>Hazleton</v>
      </c>
      <c r="H14" s="10" t="str">
        <f>VLOOKUP('Formula Workbook'!G13,Cities!$A:$B,2,FALSE)</f>
        <v>Allentown</v>
      </c>
      <c r="I14" s="10" t="str">
        <f>VLOOKUP('Formula Workbook'!H13,Cities!$A:$B,2,FALSE)</f>
        <v>Beaver Falls</v>
      </c>
      <c r="J14" s="10" t="str">
        <f>VLOOKUP('Formula Workbook'!I13,Cities!$A:$B,2,FALSE)</f>
        <v>Jeannette</v>
      </c>
      <c r="K14" s="10" t="str">
        <f>VLOOKUP('Formula Workbook'!J13,Cities!$A:$B,2,FALSE)</f>
        <v>Harrisburg</v>
      </c>
      <c r="L14" s="10" t="s">
        <v>128</v>
      </c>
      <c r="M14" s="10" t="str">
        <f>VLOOKUP('Formula Workbook'!L13,Cities!$A:$B,2,FALSE)</f>
        <v>Allentown</v>
      </c>
    </row>
    <row r="15" spans="1:13" ht="15.75" customHeight="1" x14ac:dyDescent="0.2">
      <c r="A15" s="9" t="s">
        <v>12</v>
      </c>
      <c r="B15" s="9"/>
      <c r="C15" s="9">
        <f t="shared" si="0"/>
        <v>0</v>
      </c>
      <c r="D15" s="10" t="str">
        <f>VLOOKUP('Formula Workbook'!C14,Cities!$A:$B,2,FALSE)</f>
        <v>Pittsburgh</v>
      </c>
      <c r="E15" s="10" t="str">
        <f>VLOOKUP('Formula Workbook'!D14,Cities!$A:$B,2,FALSE)</f>
        <v>Easton</v>
      </c>
      <c r="F15" s="10" t="str">
        <f>VLOOKUP('Formula Workbook'!E14,Cities!$A:$B,2,FALSE)</f>
        <v>Duquesne</v>
      </c>
      <c r="G15" s="10" t="str">
        <f>VLOOKUP('Formula Workbook'!F14,Cities!$A:$B,2,FALSE)</f>
        <v>Allentown</v>
      </c>
      <c r="H15" s="10" t="str">
        <f>VLOOKUP('Formula Workbook'!G14,Cities!$A:$B,2,FALSE)</f>
        <v>Greensburg</v>
      </c>
      <c r="I15" s="10" t="str">
        <f>VLOOKUP('Formula Workbook'!H14,Cities!$A:$B,2,FALSE)</f>
        <v>Duquesne</v>
      </c>
      <c r="J15" s="10" t="str">
        <f>VLOOKUP('Formula Workbook'!I14,Cities!$A:$B,2,FALSE)</f>
        <v>Pittsburgh</v>
      </c>
      <c r="K15" s="10" t="s">
        <v>128</v>
      </c>
      <c r="L15" s="10" t="str">
        <f>VLOOKUP('Formula Workbook'!K14,Cities!$A:$B,2,FALSE)</f>
        <v>DuBois</v>
      </c>
      <c r="M15" s="10" t="str">
        <f>VLOOKUP('Formula Workbook'!L14,Cities!$A:$B,2,FALSE)</f>
        <v>Jeannette</v>
      </c>
    </row>
    <row r="16" spans="1:13" ht="15.75" customHeight="1" x14ac:dyDescent="0.2">
      <c r="A16" s="9" t="s">
        <v>13</v>
      </c>
      <c r="B16" s="9"/>
      <c r="C16" s="9">
        <f t="shared" si="0"/>
        <v>0</v>
      </c>
      <c r="D16" s="10" t="str">
        <f>VLOOKUP('Formula Workbook'!C15,Cities!$A:$B,2,FALSE)</f>
        <v>Bradford</v>
      </c>
      <c r="E16" s="10" t="str">
        <f>VLOOKUP('Formula Workbook'!D15,Cities!$A:$B,2,FALSE)</f>
        <v>Corry</v>
      </c>
      <c r="F16" s="10" t="str">
        <f>VLOOKUP('Formula Workbook'!E15,Cities!$A:$B,2,FALSE)</f>
        <v>Connellsville</v>
      </c>
      <c r="G16" s="10" t="str">
        <f>VLOOKUP('Formula Workbook'!F15,Cities!$A:$B,2,FALSE)</f>
        <v>Reading</v>
      </c>
      <c r="H16" s="10" t="str">
        <f>VLOOKUP('Formula Workbook'!G15,Cities!$A:$B,2,FALSE)</f>
        <v>Easton</v>
      </c>
      <c r="I16" s="10" t="str">
        <f>VLOOKUP('Formula Workbook'!H15,Cities!$A:$B,2,FALSE)</f>
        <v>Chester</v>
      </c>
      <c r="J16" s="10" t="str">
        <f>VLOOKUP('Formula Workbook'!I15,Cities!$A:$B,2,FALSE)</f>
        <v>Pittsburgh</v>
      </c>
      <c r="K16" s="10" t="str">
        <f>VLOOKUP('Formula Workbook'!J15,Cities!$A:$B,2,FALSE)</f>
        <v>Chester</v>
      </c>
      <c r="L16" s="10" t="str">
        <f>VLOOKUP('Formula Workbook'!K15,Cities!$A:$B,2,FALSE)</f>
        <v>Corry</v>
      </c>
      <c r="M16" s="10" t="str">
        <f>VLOOKUP('Formula Workbook'!L15,Cities!$A:$B,2,FALSE)</f>
        <v>Chester</v>
      </c>
    </row>
    <row r="17" spans="1:13" ht="15.75" customHeight="1" x14ac:dyDescent="0.2">
      <c r="A17" s="9" t="s">
        <v>14</v>
      </c>
      <c r="B17" s="9"/>
      <c r="C17" s="9">
        <f t="shared" si="0"/>
        <v>0</v>
      </c>
      <c r="D17" s="10" t="str">
        <f>VLOOKUP('Formula Workbook'!C16,Cities!$A:$B,2,FALSE)</f>
        <v>Bethlehem</v>
      </c>
      <c r="E17" s="10" t="str">
        <f>VLOOKUP('Formula Workbook'!D16,Cities!$A:$B,2,FALSE)</f>
        <v>Duquesne</v>
      </c>
      <c r="F17" s="10" t="str">
        <f>VLOOKUP('Formula Workbook'!E16,Cities!$A:$B,2,FALSE)</f>
        <v>Corry</v>
      </c>
      <c r="G17" s="10" t="str">
        <f>VLOOKUP('Formula Workbook'!F16,Cities!$A:$B,2,FALSE)</f>
        <v>Harrisburg</v>
      </c>
      <c r="H17" s="10" t="str">
        <f>VLOOKUP('Formula Workbook'!G16,Cities!$A:$B,2,FALSE)</f>
        <v>Bradford</v>
      </c>
      <c r="I17" s="10" t="str">
        <f>VLOOKUP('Formula Workbook'!H16,Cities!$A:$B,2,FALSE)</f>
        <v>DuBois</v>
      </c>
      <c r="J17" s="10" t="str">
        <f>VLOOKUP('Formula Workbook'!I16,Cities!$A:$B,2,FALSE)</f>
        <v>Duquesne</v>
      </c>
      <c r="K17" s="10" t="str">
        <f>VLOOKUP('Formula Workbook'!J16,Cities!$A:$B,2,FALSE)</f>
        <v>Hermitage</v>
      </c>
      <c r="L17" s="10" t="str">
        <f>VLOOKUP('Formula Workbook'!K16,Cities!$A:$B,2,FALSE)</f>
        <v>Pittsburgh</v>
      </c>
      <c r="M17" s="10" t="str">
        <f>VLOOKUP('Formula Workbook'!L16,Cities!$A:$B,2,FALSE)</f>
        <v>Philadelphia</v>
      </c>
    </row>
    <row r="18" spans="1:13" ht="15.75" customHeight="1" x14ac:dyDescent="0.2">
      <c r="A18" s="9" t="s">
        <v>15</v>
      </c>
      <c r="B18" s="11" t="s">
        <v>239</v>
      </c>
      <c r="C18" s="9">
        <f t="shared" si="0"/>
        <v>1</v>
      </c>
      <c r="D18" s="10" t="str">
        <f>VLOOKUP('Formula Workbook'!C17,Cities!$A:$B,2,FALSE)</f>
        <v>Hazleton</v>
      </c>
      <c r="E18" s="10" t="str">
        <f>VLOOKUP('Formula Workbook'!D17,Cities!$A:$B,2,FALSE)</f>
        <v>DuBois</v>
      </c>
      <c r="F18" s="10" t="str">
        <f>VLOOKUP('Formula Workbook'!E17,Cities!$A:$B,2,FALSE)</f>
        <v>Chester</v>
      </c>
      <c r="G18" s="10" t="str">
        <f>VLOOKUP('Formula Workbook'!F17,Cities!$A:$B,2,FALSE)</f>
        <v>Aliquippa</v>
      </c>
      <c r="H18" s="10" t="s">
        <v>128</v>
      </c>
      <c r="I18" s="10" t="str">
        <f>VLOOKUP('Formula Workbook'!H17,Cities!$A:$B,2,FALSE)</f>
        <v>Washington</v>
      </c>
      <c r="J18" s="10" t="str">
        <f>VLOOKUP('Formula Workbook'!I17,Cities!$A:$B,2,FALSE)</f>
        <v>Hermitage</v>
      </c>
      <c r="K18" s="10" t="str">
        <f>VLOOKUP('Formula Workbook'!J17,Cities!$A:$B,2,FALSE)</f>
        <v>Philadelphia</v>
      </c>
      <c r="L18" s="10" t="str">
        <f>VLOOKUP('Formula Workbook'!K17,Cities!$A:$B,2,FALSE)</f>
        <v>Reading</v>
      </c>
      <c r="M18" s="10" t="str">
        <f>VLOOKUP('Formula Workbook'!L17,Cities!$A:$B,2,FALSE)</f>
        <v>Aliquippa</v>
      </c>
    </row>
    <row r="19" spans="1:13" ht="15.75" customHeight="1" x14ac:dyDescent="0.2">
      <c r="A19" s="9" t="s">
        <v>16</v>
      </c>
      <c r="B19" s="9"/>
      <c r="C19" s="9">
        <f t="shared" si="0"/>
        <v>0</v>
      </c>
      <c r="D19" s="10" t="str">
        <f>VLOOKUP('Formula Workbook'!C18,Cities!$A:$B,2,FALSE)</f>
        <v>Connellsville</v>
      </c>
      <c r="E19" s="10" t="str">
        <f>VLOOKUP('Formula Workbook'!D18,Cities!$A:$B,2,FALSE)</f>
        <v>Bradford</v>
      </c>
      <c r="F19" s="10" t="str">
        <f>VLOOKUP('Formula Workbook'!E18,Cities!$A:$B,2,FALSE)</f>
        <v>Corry</v>
      </c>
      <c r="G19" s="10" t="str">
        <f>VLOOKUP('Formula Workbook'!F18,Cities!$A:$B,2,FALSE)</f>
        <v>Butler</v>
      </c>
      <c r="H19" s="10" t="str">
        <f>VLOOKUP('Formula Workbook'!G18,Cities!$A:$B,2,FALSE)</f>
        <v>Corry</v>
      </c>
      <c r="I19" s="10" t="str">
        <f>VLOOKUP('Formula Workbook'!H18,Cities!$A:$B,2,FALSE)</f>
        <v>Jeannette</v>
      </c>
      <c r="J19" s="10" t="str">
        <f>VLOOKUP('Formula Workbook'!I18,Cities!$A:$B,2,FALSE)</f>
        <v>Franklin</v>
      </c>
      <c r="K19" s="10" t="str">
        <f>VLOOKUP('Formula Workbook'!J18,Cities!$A:$B,2,FALSE)</f>
        <v>Hazleton</v>
      </c>
      <c r="L19" s="10" t="str">
        <f>VLOOKUP('Formula Workbook'!K18,Cities!$A:$B,2,FALSE)</f>
        <v>Bradford</v>
      </c>
      <c r="M19" s="10" t="str">
        <f>VLOOKUP('Formula Workbook'!L18,Cities!$A:$B,2,FALSE)</f>
        <v>Hazleton</v>
      </c>
    </row>
    <row r="20" spans="1:13" ht="15.75" customHeight="1" x14ac:dyDescent="0.2">
      <c r="A20" s="9" t="s">
        <v>17</v>
      </c>
      <c r="B20" s="9"/>
      <c r="C20" s="9">
        <f t="shared" si="0"/>
        <v>0</v>
      </c>
      <c r="D20" s="10" t="str">
        <f>VLOOKUP('Formula Workbook'!C19,Cities!$A:$B,2,FALSE)</f>
        <v>Bethlehem</v>
      </c>
      <c r="E20" s="10" t="str">
        <f>VLOOKUP('Formula Workbook'!D19,Cities!$A:$B,2,FALSE)</f>
        <v>Connellsville</v>
      </c>
      <c r="F20" s="10" t="str">
        <f>VLOOKUP('Formula Workbook'!E19,Cities!$A:$B,2,FALSE)</f>
        <v>Franklin</v>
      </c>
      <c r="G20" s="10" t="str">
        <f>VLOOKUP('Formula Workbook'!F19,Cities!$A:$B,2,FALSE)</f>
        <v>Aliquippa</v>
      </c>
      <c r="H20" s="10" t="str">
        <f>VLOOKUP('Formula Workbook'!G19,Cities!$A:$B,2,FALSE)</f>
        <v>Pittsburgh</v>
      </c>
      <c r="I20" s="10" t="str">
        <f>VLOOKUP('Formula Workbook'!H19,Cities!$A:$B,2,FALSE)</f>
        <v>Pittsburgh</v>
      </c>
      <c r="J20" s="10" t="str">
        <f>VLOOKUP('Formula Workbook'!I19,Cities!$A:$B,2,FALSE)</f>
        <v>Reading</v>
      </c>
      <c r="K20" s="10" t="str">
        <f>VLOOKUP('Formula Workbook'!J19,Cities!$A:$B,2,FALSE)</f>
        <v>Hazleton</v>
      </c>
      <c r="L20" s="10" t="str">
        <f>VLOOKUP('Formula Workbook'!K19,Cities!$A:$B,2,FALSE)</f>
        <v>Jeannette</v>
      </c>
      <c r="M20" s="10" t="str">
        <f>VLOOKUP('Formula Workbook'!L19,Cities!$A:$B,2,FALSE)</f>
        <v>Easton</v>
      </c>
    </row>
    <row r="21" spans="1:13" ht="15.75" customHeight="1" x14ac:dyDescent="0.2">
      <c r="A21" s="9" t="s">
        <v>18</v>
      </c>
      <c r="B21" s="11" t="s">
        <v>239</v>
      </c>
      <c r="C21" s="9">
        <f t="shared" si="0"/>
        <v>1</v>
      </c>
      <c r="D21" s="10" t="str">
        <f>VLOOKUP('Formula Workbook'!C20,Cities!$A:$B,2,FALSE)</f>
        <v>Washington</v>
      </c>
      <c r="E21" s="10" t="str">
        <f>VLOOKUP('Formula Workbook'!D20,Cities!$A:$B,2,FALSE)</f>
        <v>Connellsville</v>
      </c>
      <c r="F21" s="10" t="str">
        <f>VLOOKUP('Formula Workbook'!E20,Cities!$A:$B,2,FALSE)</f>
        <v>Duquesne</v>
      </c>
      <c r="G21" s="10" t="str">
        <f>VLOOKUP('Formula Workbook'!F20,Cities!$A:$B,2,FALSE)</f>
        <v>Jeannette</v>
      </c>
      <c r="H21" s="10" t="str">
        <f>VLOOKUP('Formula Workbook'!G20,Cities!$A:$B,2,FALSE)</f>
        <v>Corry</v>
      </c>
      <c r="I21" s="10" t="str">
        <f>VLOOKUP('Formula Workbook'!H20,Cities!$A:$B,2,FALSE)</f>
        <v>Butler</v>
      </c>
      <c r="J21" s="10" t="str">
        <f>VLOOKUP('Formula Workbook'!I20,Cities!$A:$B,2,FALSE)</f>
        <v>Harrisburg</v>
      </c>
      <c r="K21" s="10" t="str">
        <f>VLOOKUP('Formula Workbook'!J20,Cities!$A:$B,2,FALSE)</f>
        <v>Reading</v>
      </c>
      <c r="L21" s="10" t="str">
        <f>VLOOKUP('Formula Workbook'!K20,Cities!$A:$B,2,FALSE)</f>
        <v>Aliquippa</v>
      </c>
      <c r="M21" s="10" t="str">
        <f>VLOOKUP('Formula Workbook'!L20,Cities!$A:$B,2,FALSE)</f>
        <v>Duquesne</v>
      </c>
    </row>
    <row r="22" spans="1:13" ht="15.75" customHeight="1" x14ac:dyDescent="0.2">
      <c r="A22" s="9" t="s">
        <v>19</v>
      </c>
      <c r="B22" s="11" t="s">
        <v>239</v>
      </c>
      <c r="C22" s="9">
        <f t="shared" si="0"/>
        <v>1</v>
      </c>
      <c r="D22" s="10" t="str">
        <f>VLOOKUP('Formula Workbook'!C21,Cities!$A:$B,2,FALSE)</f>
        <v>Corry</v>
      </c>
      <c r="E22" s="10" t="str">
        <f>VLOOKUP('Formula Workbook'!D21,Cities!$A:$B,2,FALSE)</f>
        <v>DuBois</v>
      </c>
      <c r="F22" s="10" t="str">
        <f>VLOOKUP('Formula Workbook'!E21,Cities!$A:$B,2,FALSE)</f>
        <v>Allentown</v>
      </c>
      <c r="G22" s="10" t="str">
        <f>VLOOKUP('Formula Workbook'!F21,Cities!$A:$B,2,FALSE)</f>
        <v>Erie</v>
      </c>
      <c r="H22" s="10" t="str">
        <f>VLOOKUP('Formula Workbook'!G21,Cities!$A:$B,2,FALSE)</f>
        <v>Pittsburgh</v>
      </c>
      <c r="I22" s="10" t="str">
        <f>VLOOKUP('Formula Workbook'!H21,Cities!$A:$B,2,FALSE)</f>
        <v>Allentown</v>
      </c>
      <c r="J22" s="10" t="str">
        <f>VLOOKUP('Formula Workbook'!I21,Cities!$A:$B,2,FALSE)</f>
        <v>Hermitage</v>
      </c>
      <c r="K22" s="10" t="s">
        <v>128</v>
      </c>
      <c r="L22" s="10" t="str">
        <f>VLOOKUP('Formula Workbook'!K21,Cities!$A:$B,2,FALSE)</f>
        <v>Washington</v>
      </c>
      <c r="M22" s="10" t="str">
        <f>VLOOKUP('Formula Workbook'!L21,Cities!$A:$B,2,FALSE)</f>
        <v>Butler</v>
      </c>
    </row>
    <row r="23" spans="1:13" ht="15.75" customHeight="1" x14ac:dyDescent="0.2">
      <c r="A23" s="9" t="s">
        <v>20</v>
      </c>
      <c r="B23" s="9"/>
      <c r="C23" s="9">
        <f t="shared" si="0"/>
        <v>0</v>
      </c>
      <c r="D23" s="10" t="str">
        <f>VLOOKUP('Formula Workbook'!C22,Cities!$A:$B,2,FALSE)</f>
        <v>Pittsburgh</v>
      </c>
      <c r="E23" s="10" t="str">
        <f>VLOOKUP('Formula Workbook'!D22,Cities!$A:$B,2,FALSE)</f>
        <v>Hermitage</v>
      </c>
      <c r="F23" s="10" t="str">
        <f>VLOOKUP('Formula Workbook'!E22,Cities!$A:$B,2,FALSE)</f>
        <v>Duquesne</v>
      </c>
      <c r="G23" s="10" t="str">
        <f>VLOOKUP('Formula Workbook'!F22,Cities!$A:$B,2,FALSE)</f>
        <v>Philadelphia</v>
      </c>
      <c r="H23" s="10" t="str">
        <f>VLOOKUP('Formula Workbook'!G22,Cities!$A:$B,2,FALSE)</f>
        <v>Aliquippa</v>
      </c>
      <c r="I23" s="10" t="str">
        <f>VLOOKUP('Formula Workbook'!H22,Cities!$A:$B,2,FALSE)</f>
        <v>Bradford</v>
      </c>
      <c r="J23" s="10" t="str">
        <f>VLOOKUP('Formula Workbook'!I22,Cities!$A:$B,2,FALSE)</f>
        <v>Corry</v>
      </c>
      <c r="K23" s="10" t="str">
        <f>VLOOKUP('Formula Workbook'!J22,Cities!$A:$B,2,FALSE)</f>
        <v>Connellsville</v>
      </c>
      <c r="L23" s="10" t="str">
        <f>VLOOKUP('Formula Workbook'!K22,Cities!$A:$B,2,FALSE)</f>
        <v>Bethlehem</v>
      </c>
      <c r="M23" s="10" t="str">
        <f>VLOOKUP('Formula Workbook'!L22,Cities!$A:$B,2,FALSE)</f>
        <v>Allentown</v>
      </c>
    </row>
    <row r="24" spans="1:13" ht="15.75" customHeight="1" x14ac:dyDescent="0.2">
      <c r="A24" s="9" t="s">
        <v>21</v>
      </c>
      <c r="B24" s="11" t="s">
        <v>239</v>
      </c>
      <c r="C24" s="9">
        <f t="shared" si="0"/>
        <v>1</v>
      </c>
      <c r="D24" s="10" t="str">
        <f>VLOOKUP('Formula Workbook'!C23,Cities!$A:$B,2,FALSE)</f>
        <v>Corry</v>
      </c>
      <c r="E24" s="10" t="str">
        <f>VLOOKUP('Formula Workbook'!D23,Cities!$A:$B,2,FALSE)</f>
        <v>Washington</v>
      </c>
      <c r="F24" s="10" t="str">
        <f>VLOOKUP('Formula Workbook'!E23,Cities!$A:$B,2,FALSE)</f>
        <v>Altoona</v>
      </c>
      <c r="G24" s="10" t="str">
        <f>VLOOKUP('Formula Workbook'!F23,Cities!$A:$B,2,FALSE)</f>
        <v>Chester</v>
      </c>
      <c r="H24" s="10" t="str">
        <f>VLOOKUP('Formula Workbook'!G23,Cities!$A:$B,2,FALSE)</f>
        <v>Duquesne</v>
      </c>
      <c r="I24" s="10" t="str">
        <f>VLOOKUP('Formula Workbook'!H23,Cities!$A:$B,2,FALSE)</f>
        <v>Hermitage</v>
      </c>
      <c r="J24" s="10" t="str">
        <f>VLOOKUP('Formula Workbook'!I23,Cities!$A:$B,2,FALSE)</f>
        <v>Easton</v>
      </c>
      <c r="K24" s="10" t="str">
        <f>VLOOKUP('Formula Workbook'!J23,Cities!$A:$B,2,FALSE)</f>
        <v>Erie</v>
      </c>
      <c r="L24" s="10" t="str">
        <f>VLOOKUP('Formula Workbook'!K23,Cities!$A:$B,2,FALSE)</f>
        <v>Butler</v>
      </c>
      <c r="M24" s="10" t="str">
        <f>VLOOKUP('Formula Workbook'!L23,Cities!$A:$B,2,FALSE)</f>
        <v>Hermitage</v>
      </c>
    </row>
    <row r="25" spans="1:13" ht="15.75" customHeight="1" x14ac:dyDescent="0.2">
      <c r="A25" s="9" t="s">
        <v>22</v>
      </c>
      <c r="B25" s="11" t="s">
        <v>239</v>
      </c>
      <c r="C25" s="9">
        <f t="shared" si="0"/>
        <v>1</v>
      </c>
      <c r="D25" s="10" t="str">
        <f>VLOOKUP('Formula Workbook'!C24,Cities!$A:$B,2,FALSE)</f>
        <v>Philadelphia</v>
      </c>
      <c r="E25" s="10" t="s">
        <v>128</v>
      </c>
      <c r="F25" s="10" t="str">
        <f>VLOOKUP('Formula Workbook'!E24,Cities!$A:$B,2,FALSE)</f>
        <v>Washington</v>
      </c>
      <c r="G25" s="10" t="str">
        <f>VLOOKUP('Formula Workbook'!F24,Cities!$A:$B,2,FALSE)</f>
        <v>Easton</v>
      </c>
      <c r="H25" s="10" t="str">
        <f>VLOOKUP('Formula Workbook'!G24,Cities!$A:$B,2,FALSE)</f>
        <v>Duquesne</v>
      </c>
      <c r="I25" s="10" t="str">
        <f>VLOOKUP('Formula Workbook'!H24,Cities!$A:$B,2,FALSE)</f>
        <v>Jeannette</v>
      </c>
      <c r="J25" s="10" t="str">
        <f>VLOOKUP('Formula Workbook'!I24,Cities!$A:$B,2,FALSE)</f>
        <v>Corry</v>
      </c>
      <c r="K25" s="10" t="str">
        <f>VLOOKUP('Formula Workbook'!J24,Cities!$A:$B,2,FALSE)</f>
        <v>Greensburg</v>
      </c>
      <c r="L25" s="10" t="str">
        <f>VLOOKUP('Formula Workbook'!K24,Cities!$A:$B,2,FALSE)</f>
        <v>Franklin</v>
      </c>
      <c r="M25" s="10" t="s">
        <v>128</v>
      </c>
    </row>
    <row r="26" spans="1:13" ht="15.75" customHeight="1" x14ac:dyDescent="0.2">
      <c r="A26" s="9" t="s">
        <v>23</v>
      </c>
      <c r="B26" s="11" t="s">
        <v>239</v>
      </c>
      <c r="C26" s="9">
        <f t="shared" si="0"/>
        <v>1</v>
      </c>
      <c r="D26" s="10" t="str">
        <f>VLOOKUP('Formula Workbook'!C25,Cities!$A:$B,2,FALSE)</f>
        <v>Altoona</v>
      </c>
      <c r="E26" s="10" t="str">
        <f>VLOOKUP('Formula Workbook'!D25,Cities!$A:$B,2,FALSE)</f>
        <v>Altoona</v>
      </c>
      <c r="F26" s="10" t="str">
        <f>VLOOKUP('Formula Workbook'!E25,Cities!$A:$B,2,FALSE)</f>
        <v>Philadelphia</v>
      </c>
      <c r="G26" s="10" t="str">
        <f>VLOOKUP('Formula Workbook'!F25,Cities!$A:$B,2,FALSE)</f>
        <v>Clairton</v>
      </c>
      <c r="H26" s="10" t="str">
        <f>VLOOKUP('Formula Workbook'!G25,Cities!$A:$B,2,FALSE)</f>
        <v>Franklin</v>
      </c>
      <c r="I26" s="10" t="s">
        <v>128</v>
      </c>
      <c r="J26" s="10" t="str">
        <f>VLOOKUP('Formula Workbook'!I25,Cities!$A:$B,2,FALSE)</f>
        <v>Harrisburg</v>
      </c>
      <c r="K26" s="10" t="str">
        <f>VLOOKUP('Formula Workbook'!J25,Cities!$A:$B,2,FALSE)</f>
        <v>Washington</v>
      </c>
      <c r="L26" s="10" t="str">
        <f>VLOOKUP('Formula Workbook'!K25,Cities!$A:$B,2,FALSE)</f>
        <v>Butler</v>
      </c>
      <c r="M26" s="10" t="str">
        <f>VLOOKUP('Formula Workbook'!L25,Cities!$A:$B,2,FALSE)</f>
        <v>Pittsburgh</v>
      </c>
    </row>
    <row r="27" spans="1:13" ht="15.75" customHeight="1" x14ac:dyDescent="0.2">
      <c r="A27" s="9" t="s">
        <v>24</v>
      </c>
      <c r="B27" s="11" t="s">
        <v>239</v>
      </c>
      <c r="C27" s="9">
        <f t="shared" si="0"/>
        <v>2</v>
      </c>
      <c r="D27" s="10" t="str">
        <f>VLOOKUP('Formula Workbook'!C26,Cities!$A:$B,2,FALSE)</f>
        <v>Allentown</v>
      </c>
      <c r="E27" s="10" t="str">
        <f>VLOOKUP('Formula Workbook'!D26,Cities!$A:$B,2,FALSE)</f>
        <v>Chester</v>
      </c>
      <c r="F27" s="10" t="str">
        <f>VLOOKUP('Formula Workbook'!E26,Cities!$A:$B,2,FALSE)</f>
        <v>Harrisburg</v>
      </c>
      <c r="G27" s="10" t="str">
        <f>VLOOKUP('Formula Workbook'!F26,Cities!$A:$B,2,FALSE)</f>
        <v>Aliquippa</v>
      </c>
      <c r="H27" s="10" t="str">
        <f>VLOOKUP('Formula Workbook'!G26,Cities!$A:$B,2,FALSE)</f>
        <v>Washington</v>
      </c>
      <c r="I27" s="10" t="str">
        <f>VLOOKUP('Formula Workbook'!H26,Cities!$A:$B,2,FALSE)</f>
        <v>Corry</v>
      </c>
      <c r="J27" s="10" t="str">
        <f>VLOOKUP('Formula Workbook'!I26,Cities!$A:$B,2,FALSE)</f>
        <v>Erie</v>
      </c>
      <c r="K27" s="10" t="str">
        <f>VLOOKUP('Formula Workbook'!J26,Cities!$A:$B,2,FALSE)</f>
        <v>Jeannette</v>
      </c>
      <c r="L27" s="10" t="str">
        <f>VLOOKUP('Formula Workbook'!K26,Cities!$A:$B,2,FALSE)</f>
        <v>Washington</v>
      </c>
      <c r="M27" s="10" t="str">
        <f>VLOOKUP('Formula Workbook'!L26,Cities!$A:$B,2,FALSE)</f>
        <v>Allentown</v>
      </c>
    </row>
    <row r="28" spans="1:13" ht="15.75" customHeight="1" x14ac:dyDescent="0.2">
      <c r="A28" s="9" t="s">
        <v>25</v>
      </c>
      <c r="B28" s="11" t="s">
        <v>239</v>
      </c>
      <c r="C28" s="9">
        <f t="shared" si="0"/>
        <v>1</v>
      </c>
      <c r="D28" s="10" t="str">
        <f>VLOOKUP('Formula Workbook'!C27,Cities!$A:$B,2,FALSE)</f>
        <v>Aliquippa</v>
      </c>
      <c r="E28" s="10" t="str">
        <f>VLOOKUP('Formula Workbook'!D27,Cities!$A:$B,2,FALSE)</f>
        <v>Hazleton</v>
      </c>
      <c r="F28" s="10" t="str">
        <f>VLOOKUP('Formula Workbook'!E27,Cities!$A:$B,2,FALSE)</f>
        <v>Corry</v>
      </c>
      <c r="G28" s="10" t="str">
        <f>VLOOKUP('Formula Workbook'!F27,Cities!$A:$B,2,FALSE)</f>
        <v>Washington</v>
      </c>
      <c r="H28" s="10" t="str">
        <f>VLOOKUP('Formula Workbook'!G27,Cities!$A:$B,2,FALSE)</f>
        <v>Beaver Falls</v>
      </c>
      <c r="I28" s="10" t="str">
        <f>VLOOKUP('Formula Workbook'!H27,Cities!$A:$B,2,FALSE)</f>
        <v>Connellsville</v>
      </c>
      <c r="J28" s="10" t="str">
        <f>VLOOKUP('Formula Workbook'!I27,Cities!$A:$B,2,FALSE)</f>
        <v>Franklin</v>
      </c>
      <c r="K28" s="10" t="s">
        <v>128</v>
      </c>
      <c r="L28" s="10" t="str">
        <f>VLOOKUP('Formula Workbook'!K27,Cities!$A:$B,2,FALSE)</f>
        <v>Connellsville</v>
      </c>
      <c r="M28" s="10" t="str">
        <f>VLOOKUP('Formula Workbook'!L27,Cities!$A:$B,2,FALSE)</f>
        <v>DuBois</v>
      </c>
    </row>
  </sheetData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8"/>
  <sheetViews>
    <sheetView workbookViewId="0">
      <selection activeCell="G17" sqref="G17"/>
    </sheetView>
  </sheetViews>
  <sheetFormatPr defaultRowHeight="12" x14ac:dyDescent="0.2"/>
  <cols>
    <col min="1" max="1" width="5.28515625" style="8" customWidth="1"/>
    <col min="2" max="2" width="10.28515625" style="8" customWidth="1"/>
    <col min="3" max="3" width="10.28515625" style="8" hidden="1" customWidth="1"/>
    <col min="4" max="13" width="9.5703125" style="8" customWidth="1"/>
    <col min="14" max="16384" width="9.140625" style="8"/>
  </cols>
  <sheetData>
    <row r="1" spans="1:13" ht="22.5" customHeight="1" x14ac:dyDescent="0.2">
      <c r="G1" s="8" t="s">
        <v>219</v>
      </c>
      <c r="I1" s="8" t="s">
        <v>224</v>
      </c>
    </row>
    <row r="2" spans="1:13" x14ac:dyDescent="0.2">
      <c r="A2" s="8" t="s">
        <v>52</v>
      </c>
      <c r="C2" s="8" t="s">
        <v>210</v>
      </c>
      <c r="D2" s="8" t="s">
        <v>143</v>
      </c>
      <c r="E2" s="8" t="s">
        <v>144</v>
      </c>
      <c r="F2" s="8" t="s">
        <v>145</v>
      </c>
      <c r="G2" s="8" t="s">
        <v>146</v>
      </c>
      <c r="H2" s="8" t="s">
        <v>147</v>
      </c>
      <c r="I2" s="8" t="s">
        <v>148</v>
      </c>
      <c r="J2" s="8" t="s">
        <v>149</v>
      </c>
      <c r="K2" s="8" t="s">
        <v>150</v>
      </c>
      <c r="L2" s="8" t="s">
        <v>151</v>
      </c>
      <c r="M2" s="8" t="s">
        <v>152</v>
      </c>
    </row>
    <row r="3" spans="1:13" ht="15.75" customHeight="1" x14ac:dyDescent="0.2">
      <c r="A3" s="9" t="s">
        <v>0</v>
      </c>
      <c r="B3" s="13"/>
      <c r="C3" s="9">
        <f>COUNTIF(D3:M3, "altoona")</f>
        <v>0</v>
      </c>
      <c r="D3" s="10" t="str">
        <f>VLOOKUP('Formula Workbook'!AG2,Cities!$A:$B,2,FALSE)</f>
        <v>Corry</v>
      </c>
      <c r="E3" s="10" t="str">
        <f>VLOOKUP('Formula Workbook'!AH2,Cities!$A:$B,2,FALSE)</f>
        <v>Greensburg</v>
      </c>
      <c r="F3" s="10" t="str">
        <f>VLOOKUP('Formula Workbook'!AI2,Cities!$A:$B,2,FALSE)</f>
        <v>Jeannette</v>
      </c>
      <c r="G3" s="10" t="str">
        <f>VLOOKUP('Formula Workbook'!AJ2,Cities!$A:$B,2,FALSE)</f>
        <v>Franklin</v>
      </c>
      <c r="H3" s="10" t="str">
        <f>VLOOKUP('Formula Workbook'!AK2,Cities!$A:$B,2,FALSE)</f>
        <v>Connellsville</v>
      </c>
      <c r="I3" s="10" t="str">
        <f>VLOOKUP('Formula Workbook'!AL2,Cities!$A:$B,2,FALSE)</f>
        <v>Chester</v>
      </c>
      <c r="J3" s="10" t="str">
        <f>VLOOKUP('Formula Workbook'!AM2,Cities!$A:$B,2,FALSE)</f>
        <v>Wilkes-Barre</v>
      </c>
      <c r="K3" s="10" t="str">
        <f>VLOOKUP('Formula Workbook'!AN2,Cities!$A:$B,2,FALSE)</f>
        <v>Pittsburgh</v>
      </c>
      <c r="L3" s="10" t="str">
        <f>VLOOKUP('Formula Workbook'!AO2,Cities!$A:$B,2,FALSE)</f>
        <v>Bethlehem</v>
      </c>
      <c r="M3" s="10" t="str">
        <f>VLOOKUP('Formula Workbook'!AP2,Cities!$A:$B,2,FALSE)</f>
        <v>Hazleton</v>
      </c>
    </row>
    <row r="4" spans="1:13" ht="15.75" customHeight="1" x14ac:dyDescent="0.2">
      <c r="A4" s="9" t="s">
        <v>1</v>
      </c>
      <c r="B4" s="11" t="s">
        <v>240</v>
      </c>
      <c r="C4" s="9">
        <f t="shared" ref="C4:C28" si="0">COUNTIF(D4:M4, "altoona")</f>
        <v>1</v>
      </c>
      <c r="D4" s="10" t="str">
        <f>VLOOKUP('Formula Workbook'!AG3,Cities!$A:$B,2,FALSE)</f>
        <v>Bethlehem</v>
      </c>
      <c r="E4" s="10" t="str">
        <f>VLOOKUP('Formula Workbook'!AH3,Cities!$A:$B,2,FALSE)</f>
        <v>Philadelphia</v>
      </c>
      <c r="F4" s="10" t="str">
        <f>VLOOKUP('Formula Workbook'!AI3,Cities!$A:$B,2,FALSE)</f>
        <v>Easton</v>
      </c>
      <c r="G4" s="10" t="str">
        <f>VLOOKUP('Formula Workbook'!AJ3,Cities!$A:$B,2,FALSE)</f>
        <v>Jeannette</v>
      </c>
      <c r="H4" s="10" t="str">
        <f>VLOOKUP('Formula Workbook'!AK3,Cities!$A:$B,2,FALSE)</f>
        <v>Duquesne</v>
      </c>
      <c r="I4" s="10" t="str">
        <f>VLOOKUP('Formula Workbook'!AL3,Cities!$A:$B,2,FALSE)</f>
        <v>Philadelphia</v>
      </c>
      <c r="J4" s="10" t="str">
        <f>VLOOKUP('Formula Workbook'!AM3,Cities!$A:$B,2,FALSE)</f>
        <v>Jeannette</v>
      </c>
      <c r="K4" s="10" t="str">
        <f>VLOOKUP('Formula Workbook'!AN3,Cities!$A:$B,2,FALSE)</f>
        <v>Altoona</v>
      </c>
      <c r="L4" s="10" t="str">
        <f>VLOOKUP('Formula Workbook'!AO3,Cities!$A:$B,2,FALSE)</f>
        <v>Beaver Falls</v>
      </c>
      <c r="M4" s="10" t="str">
        <f>VLOOKUP('Formula Workbook'!AP3,Cities!$A:$B,2,FALSE)</f>
        <v>Butler</v>
      </c>
    </row>
    <row r="5" spans="1:13" ht="15.75" customHeight="1" x14ac:dyDescent="0.2">
      <c r="A5" s="9" t="s">
        <v>2</v>
      </c>
      <c r="B5" s="11" t="s">
        <v>240</v>
      </c>
      <c r="C5" s="9">
        <f t="shared" si="0"/>
        <v>1</v>
      </c>
      <c r="D5" s="10" t="str">
        <f>VLOOKUP('Formula Workbook'!AG4,Cities!$A:$B,2,FALSE)</f>
        <v>DuBois</v>
      </c>
      <c r="E5" s="10" t="str">
        <f>VLOOKUP('Formula Workbook'!AH4,Cities!$A:$B,2,FALSE)</f>
        <v>Hermitage</v>
      </c>
      <c r="F5" s="10" t="str">
        <f>VLOOKUP('Formula Workbook'!AI4,Cities!$A:$B,2,FALSE)</f>
        <v>Hermitage</v>
      </c>
      <c r="G5" s="10" t="str">
        <f>VLOOKUP('Formula Workbook'!AJ4,Cities!$A:$B,2,FALSE)</f>
        <v>Duquesne</v>
      </c>
      <c r="H5" s="10" t="str">
        <f>VLOOKUP('Formula Workbook'!AK4,Cities!$A:$B,2,FALSE)</f>
        <v>Aliquippa</v>
      </c>
      <c r="I5" s="10" t="str">
        <f>VLOOKUP('Formula Workbook'!AL4,Cities!$A:$B,2,FALSE)</f>
        <v>Butler</v>
      </c>
      <c r="J5" s="10" t="str">
        <f>VLOOKUP('Formula Workbook'!AM4,Cities!$A:$B,2,FALSE)</f>
        <v>Greensburg</v>
      </c>
      <c r="K5" s="10" t="str">
        <f>VLOOKUP('Formula Workbook'!AN4,Cities!$A:$B,2,FALSE)</f>
        <v>Altoona</v>
      </c>
      <c r="L5" s="10" t="str">
        <f>VLOOKUP('Formula Workbook'!AO4,Cities!$A:$B,2,FALSE)</f>
        <v>Bethlehem</v>
      </c>
      <c r="M5" s="10" t="str">
        <f>VLOOKUP('Formula Workbook'!AP4,Cities!$A:$B,2,FALSE)</f>
        <v>Greensburg</v>
      </c>
    </row>
    <row r="6" spans="1:13" ht="15.75" customHeight="1" x14ac:dyDescent="0.2">
      <c r="A6" s="9" t="s">
        <v>3</v>
      </c>
      <c r="B6" s="13"/>
      <c r="C6" s="9">
        <f t="shared" si="0"/>
        <v>0</v>
      </c>
      <c r="D6" s="10" t="str">
        <f>VLOOKUP('Formula Workbook'!AG5,Cities!$A:$B,2,FALSE)</f>
        <v>Greensburg</v>
      </c>
      <c r="E6" s="10" t="str">
        <f>VLOOKUP('Formula Workbook'!AH5,Cities!$A:$B,2,FALSE)</f>
        <v>Chester</v>
      </c>
      <c r="F6" s="10" t="str">
        <f>VLOOKUP('Formula Workbook'!AI5,Cities!$A:$B,2,FALSE)</f>
        <v>Bethlehem</v>
      </c>
      <c r="G6" s="10" t="str">
        <f>VLOOKUP('Formula Workbook'!AJ5,Cities!$A:$B,2,FALSE)</f>
        <v>Duquesne</v>
      </c>
      <c r="H6" s="10" t="str">
        <f>VLOOKUP('Formula Workbook'!AK5,Cities!$A:$B,2,FALSE)</f>
        <v>Jeannette</v>
      </c>
      <c r="I6" s="10" t="str">
        <f>VLOOKUP('Formula Workbook'!AL5,Cities!$A:$B,2,FALSE)</f>
        <v>Beaver Falls</v>
      </c>
      <c r="J6" s="10" t="str">
        <f>VLOOKUP('Formula Workbook'!AM5,Cities!$A:$B,2,FALSE)</f>
        <v>DuBois</v>
      </c>
      <c r="K6" s="10" t="str">
        <f>VLOOKUP('Formula Workbook'!AN5,Cities!$A:$B,2,FALSE)</f>
        <v>Reading</v>
      </c>
      <c r="L6" s="10" t="str">
        <f>VLOOKUP('Formula Workbook'!AO5,Cities!$A:$B,2,FALSE)</f>
        <v>Chester</v>
      </c>
      <c r="M6" s="10" t="str">
        <f>VLOOKUP('Formula Workbook'!AP5,Cities!$A:$B,2,FALSE)</f>
        <v>Washington</v>
      </c>
    </row>
    <row r="7" spans="1:13" ht="15.75" customHeight="1" x14ac:dyDescent="0.2">
      <c r="A7" s="9" t="s">
        <v>4</v>
      </c>
      <c r="B7" s="13"/>
      <c r="C7" s="9">
        <f t="shared" si="0"/>
        <v>0</v>
      </c>
      <c r="D7" s="10" t="str">
        <f>VLOOKUP('Formula Workbook'!AG6,Cities!$A:$B,2,FALSE)</f>
        <v>Butler</v>
      </c>
      <c r="E7" s="10" t="str">
        <f>VLOOKUP('Formula Workbook'!AH6,Cities!$A:$B,2,FALSE)</f>
        <v>Butler</v>
      </c>
      <c r="F7" s="10" t="str">
        <f>VLOOKUP('Formula Workbook'!AI6,Cities!$A:$B,2,FALSE)</f>
        <v>Allentown</v>
      </c>
      <c r="G7" s="10" t="str">
        <f>VLOOKUP('Formula Workbook'!AJ6,Cities!$A:$B,2,FALSE)</f>
        <v>Chester</v>
      </c>
      <c r="H7" s="10" t="str">
        <f>VLOOKUP('Formula Workbook'!AK6,Cities!$A:$B,2,FALSE)</f>
        <v>Bethlehem</v>
      </c>
      <c r="I7" s="10" t="str">
        <f>VLOOKUP('Formula Workbook'!AL6,Cities!$A:$B,2,FALSE)</f>
        <v>Clairton</v>
      </c>
      <c r="J7" s="10" t="str">
        <f>VLOOKUP('Formula Workbook'!AM6,Cities!$A:$B,2,FALSE)</f>
        <v>Bethlehem</v>
      </c>
      <c r="K7" s="10" t="str">
        <f>VLOOKUP('Formula Workbook'!AN6,Cities!$A:$B,2,FALSE)</f>
        <v>Hermitage</v>
      </c>
      <c r="L7" s="10" t="str">
        <f>VLOOKUP('Formula Workbook'!AO6,Cities!$A:$B,2,FALSE)</f>
        <v>Chester</v>
      </c>
      <c r="M7" s="10" t="str">
        <f>VLOOKUP('Formula Workbook'!AP6,Cities!$A:$B,2,FALSE)</f>
        <v>Greensburg</v>
      </c>
    </row>
    <row r="8" spans="1:13" ht="15.75" customHeight="1" x14ac:dyDescent="0.2">
      <c r="A8" s="9" t="s">
        <v>5</v>
      </c>
      <c r="B8" s="13"/>
      <c r="C8" s="9">
        <f t="shared" si="0"/>
        <v>0</v>
      </c>
      <c r="D8" s="10" t="str">
        <f>VLOOKUP('Formula Workbook'!AG7,Cities!$A:$B,2,FALSE)</f>
        <v>Bradford</v>
      </c>
      <c r="E8" s="10" t="str">
        <f>VLOOKUP('Formula Workbook'!AH7,Cities!$A:$B,2,FALSE)</f>
        <v>Connellsville</v>
      </c>
      <c r="F8" s="10" t="str">
        <f>VLOOKUP('Formula Workbook'!AI7,Cities!$A:$B,2,FALSE)</f>
        <v>Harrisburg</v>
      </c>
      <c r="G8" s="10" t="str">
        <f>VLOOKUP('Formula Workbook'!AJ7,Cities!$A:$B,2,FALSE)</f>
        <v>Washington</v>
      </c>
      <c r="H8" s="10" t="str">
        <f>VLOOKUP('Formula Workbook'!AK7,Cities!$A:$B,2,FALSE)</f>
        <v>Hermitage</v>
      </c>
      <c r="I8" s="10" t="str">
        <f>VLOOKUP('Formula Workbook'!AL7,Cities!$A:$B,2,FALSE)</f>
        <v>Philadelphia</v>
      </c>
      <c r="J8" s="10" t="str">
        <f>VLOOKUP('Formula Workbook'!AM7,Cities!$A:$B,2,FALSE)</f>
        <v>Chester</v>
      </c>
      <c r="K8" s="10" t="str">
        <f>VLOOKUP('Formula Workbook'!AN7,Cities!$A:$B,2,FALSE)</f>
        <v>Reading</v>
      </c>
      <c r="L8" s="10" t="str">
        <f>VLOOKUP('Formula Workbook'!AO7,Cities!$A:$B,2,FALSE)</f>
        <v>Franklin</v>
      </c>
      <c r="M8" s="10" t="str">
        <f>VLOOKUP('Formula Workbook'!AP7,Cities!$A:$B,2,FALSE)</f>
        <v>Connellsville</v>
      </c>
    </row>
    <row r="9" spans="1:13" ht="15.75" customHeight="1" x14ac:dyDescent="0.2">
      <c r="A9" s="9" t="s">
        <v>6</v>
      </c>
      <c r="B9" s="13"/>
      <c r="C9" s="9">
        <f t="shared" si="0"/>
        <v>0</v>
      </c>
      <c r="D9" s="10" t="str">
        <f>VLOOKUP('Formula Workbook'!AG8,Cities!$A:$B,2,FALSE)</f>
        <v>Corry</v>
      </c>
      <c r="E9" s="10" t="str">
        <f>VLOOKUP('Formula Workbook'!AH8,Cities!$A:$B,2,FALSE)</f>
        <v>Reading</v>
      </c>
      <c r="F9" s="10" t="str">
        <f>VLOOKUP('Formula Workbook'!AI8,Cities!$A:$B,2,FALSE)</f>
        <v>Erie</v>
      </c>
      <c r="G9" s="10" t="str">
        <f>VLOOKUP('Formula Workbook'!AJ8,Cities!$A:$B,2,FALSE)</f>
        <v>Aliquippa</v>
      </c>
      <c r="H9" s="10" t="str">
        <f>VLOOKUP('Formula Workbook'!AK8,Cities!$A:$B,2,FALSE)</f>
        <v>Philadelphia</v>
      </c>
      <c r="I9" s="10" t="str">
        <f>VLOOKUP('Formula Workbook'!AL8,Cities!$A:$B,2,FALSE)</f>
        <v>Aliquippa</v>
      </c>
      <c r="J9" s="10" t="str">
        <f>VLOOKUP('Formula Workbook'!AM8,Cities!$A:$B,2,FALSE)</f>
        <v>Jeannette</v>
      </c>
      <c r="K9" s="10" t="str">
        <f>VLOOKUP('Formula Workbook'!AN8,Cities!$A:$B,2,FALSE)</f>
        <v>Philadelphia</v>
      </c>
      <c r="L9" s="10" t="str">
        <f>VLOOKUP('Formula Workbook'!AO8,Cities!$A:$B,2,FALSE)</f>
        <v>Connellsville</v>
      </c>
      <c r="M9" s="10" t="str">
        <f>VLOOKUP('Formula Workbook'!AP8,Cities!$A:$B,2,FALSE)</f>
        <v>Jeannette</v>
      </c>
    </row>
    <row r="10" spans="1:13" ht="15.75" customHeight="1" x14ac:dyDescent="0.2">
      <c r="A10" s="9" t="s">
        <v>7</v>
      </c>
      <c r="B10" s="13"/>
      <c r="C10" s="9">
        <f t="shared" si="0"/>
        <v>0</v>
      </c>
      <c r="D10" s="10" t="str">
        <f>VLOOKUP('Formula Workbook'!AG9,Cities!$A:$B,2,FALSE)</f>
        <v>Erie</v>
      </c>
      <c r="E10" s="10" t="str">
        <f>VLOOKUP('Formula Workbook'!AH9,Cities!$A:$B,2,FALSE)</f>
        <v>Greensburg</v>
      </c>
      <c r="F10" s="10" t="str">
        <f>VLOOKUP('Formula Workbook'!AI9,Cities!$A:$B,2,FALSE)</f>
        <v>Erie</v>
      </c>
      <c r="G10" s="10" t="str">
        <f>VLOOKUP('Formula Workbook'!AJ9,Cities!$A:$B,2,FALSE)</f>
        <v>Bradford</v>
      </c>
      <c r="H10" s="10" t="str">
        <f>VLOOKUP('Formula Workbook'!AK9,Cities!$A:$B,2,FALSE)</f>
        <v>Reading</v>
      </c>
      <c r="I10" s="10" t="str">
        <f>VLOOKUP('Formula Workbook'!AL9,Cities!$A:$B,2,FALSE)</f>
        <v>Allentown</v>
      </c>
      <c r="J10" s="10" t="str">
        <f>VLOOKUP('Formula Workbook'!AM9,Cities!$A:$B,2,FALSE)</f>
        <v>Erie</v>
      </c>
      <c r="K10" s="10" t="str">
        <f>VLOOKUP('Formula Workbook'!AN9,Cities!$A:$B,2,FALSE)</f>
        <v>Jeannette</v>
      </c>
      <c r="L10" s="10" t="str">
        <f>VLOOKUP('Formula Workbook'!AO9,Cities!$A:$B,2,FALSE)</f>
        <v>Wilkes-Barre</v>
      </c>
      <c r="M10" s="10" t="str">
        <f>VLOOKUP('Formula Workbook'!AP9,Cities!$A:$B,2,FALSE)</f>
        <v>Butler</v>
      </c>
    </row>
    <row r="11" spans="1:13" ht="15.75" customHeight="1" x14ac:dyDescent="0.2">
      <c r="A11" s="9" t="s">
        <v>8</v>
      </c>
      <c r="B11" s="13"/>
      <c r="C11" s="9">
        <f t="shared" si="0"/>
        <v>0</v>
      </c>
      <c r="D11" s="10" t="str">
        <f>VLOOKUP('Formula Workbook'!AG10,Cities!$A:$B,2,FALSE)</f>
        <v>Duquesne</v>
      </c>
      <c r="E11" s="10" t="str">
        <f>VLOOKUP('Formula Workbook'!AH10,Cities!$A:$B,2,FALSE)</f>
        <v>Bethlehem</v>
      </c>
      <c r="F11" s="10" t="str">
        <f>VLOOKUP('Formula Workbook'!AI10,Cities!$A:$B,2,FALSE)</f>
        <v>Greensburg</v>
      </c>
      <c r="G11" s="10" t="str">
        <f>VLOOKUP('Formula Workbook'!AJ10,Cities!$A:$B,2,FALSE)</f>
        <v>Franklin</v>
      </c>
      <c r="H11" s="10" t="str">
        <f>VLOOKUP('Formula Workbook'!AK10,Cities!$A:$B,2,FALSE)</f>
        <v>Allentown</v>
      </c>
      <c r="I11" s="10" t="str">
        <f>VLOOKUP('Formula Workbook'!AL10,Cities!$A:$B,2,FALSE)</f>
        <v>Butler</v>
      </c>
      <c r="J11" s="10" t="str">
        <f>VLOOKUP('Formula Workbook'!AM10,Cities!$A:$B,2,FALSE)</f>
        <v>Aliquippa</v>
      </c>
      <c r="K11" s="10" t="str">
        <f>VLOOKUP('Formula Workbook'!AN10,Cities!$A:$B,2,FALSE)</f>
        <v>Hazleton</v>
      </c>
      <c r="L11" s="10" t="str">
        <f>VLOOKUP('Formula Workbook'!AO10,Cities!$A:$B,2,FALSE)</f>
        <v>Corry</v>
      </c>
      <c r="M11" s="10" t="str">
        <f>VLOOKUP('Formula Workbook'!AP10,Cities!$A:$B,2,FALSE)</f>
        <v>Beaver Falls</v>
      </c>
    </row>
    <row r="12" spans="1:13" ht="15.75" customHeight="1" x14ac:dyDescent="0.2">
      <c r="A12" s="9" t="s">
        <v>9</v>
      </c>
      <c r="B12" s="11" t="s">
        <v>240</v>
      </c>
      <c r="C12" s="9">
        <f t="shared" si="0"/>
        <v>1</v>
      </c>
      <c r="D12" s="10" t="str">
        <f>VLOOKUP('Formula Workbook'!AG11,Cities!$A:$B,2,FALSE)</f>
        <v>Altoona</v>
      </c>
      <c r="E12" s="10" t="str">
        <f>VLOOKUP('Formula Workbook'!AH11,Cities!$A:$B,2,FALSE)</f>
        <v>Pittsburgh</v>
      </c>
      <c r="F12" s="10" t="str">
        <f>VLOOKUP('Formula Workbook'!AI11,Cities!$A:$B,2,FALSE)</f>
        <v>Washington</v>
      </c>
      <c r="G12" s="10" t="str">
        <f>VLOOKUP('Formula Workbook'!AJ11,Cities!$A:$B,2,FALSE)</f>
        <v>Erie</v>
      </c>
      <c r="H12" s="10" t="str">
        <f>VLOOKUP('Formula Workbook'!AK11,Cities!$A:$B,2,FALSE)</f>
        <v>DuBois</v>
      </c>
      <c r="I12" s="10" t="str">
        <f>VLOOKUP('Formula Workbook'!AL11,Cities!$A:$B,2,FALSE)</f>
        <v>Connellsville</v>
      </c>
      <c r="J12" s="10" t="str">
        <f>VLOOKUP('Formula Workbook'!AM11,Cities!$A:$B,2,FALSE)</f>
        <v>Franklin</v>
      </c>
      <c r="K12" s="10" t="str">
        <f>VLOOKUP('Formula Workbook'!AN11,Cities!$A:$B,2,FALSE)</f>
        <v>Greensburg</v>
      </c>
      <c r="L12" s="10" t="str">
        <f>VLOOKUP('Formula Workbook'!AO11,Cities!$A:$B,2,FALSE)</f>
        <v>Hermitage</v>
      </c>
      <c r="M12" s="10" t="str">
        <f>VLOOKUP('Formula Workbook'!AP11,Cities!$A:$B,2,FALSE)</f>
        <v>DuBois</v>
      </c>
    </row>
    <row r="13" spans="1:13" ht="15.75" customHeight="1" x14ac:dyDescent="0.2">
      <c r="A13" s="9" t="s">
        <v>10</v>
      </c>
      <c r="B13" s="11" t="s">
        <v>240</v>
      </c>
      <c r="C13" s="9">
        <f t="shared" si="0"/>
        <v>1</v>
      </c>
      <c r="D13" s="10" t="str">
        <f>VLOOKUP('Formula Workbook'!AG12,Cities!$A:$B,2,FALSE)</f>
        <v>Altoona</v>
      </c>
      <c r="E13" s="10" t="str">
        <f>VLOOKUP('Formula Workbook'!AH12,Cities!$A:$B,2,FALSE)</f>
        <v>Harrisburg</v>
      </c>
      <c r="F13" s="10" t="str">
        <f>VLOOKUP('Formula Workbook'!AI12,Cities!$A:$B,2,FALSE)</f>
        <v>Duquesne</v>
      </c>
      <c r="G13" s="10" t="str">
        <f>VLOOKUP('Formula Workbook'!AJ12,Cities!$A:$B,2,FALSE)</f>
        <v>Easton</v>
      </c>
      <c r="H13" s="10" t="str">
        <f>VLOOKUP('Formula Workbook'!AK12,Cities!$A:$B,2,FALSE)</f>
        <v>Allentown</v>
      </c>
      <c r="I13" s="10" t="str">
        <f>VLOOKUP('Formula Workbook'!AL12,Cities!$A:$B,2,FALSE)</f>
        <v>Butler</v>
      </c>
      <c r="J13" s="10" t="str">
        <f>VLOOKUP('Formula Workbook'!AM12,Cities!$A:$B,2,FALSE)</f>
        <v>Reading</v>
      </c>
      <c r="K13" s="10" t="str">
        <f>VLOOKUP('Formula Workbook'!AN12,Cities!$A:$B,2,FALSE)</f>
        <v>DuBois</v>
      </c>
      <c r="L13" s="10" t="str">
        <f>VLOOKUP('Formula Workbook'!AO12,Cities!$A:$B,2,FALSE)</f>
        <v>Reading</v>
      </c>
      <c r="M13" s="10" t="str">
        <f>VLOOKUP('Formula Workbook'!AP12,Cities!$A:$B,2,FALSE)</f>
        <v>Erie</v>
      </c>
    </row>
    <row r="14" spans="1:13" ht="15.75" customHeight="1" x14ac:dyDescent="0.2">
      <c r="A14" s="9" t="s">
        <v>11</v>
      </c>
      <c r="B14" s="13"/>
      <c r="C14" s="9">
        <f t="shared" si="0"/>
        <v>0</v>
      </c>
      <c r="D14" s="10" t="str">
        <f>VLOOKUP('Formula Workbook'!AG13,Cities!$A:$B,2,FALSE)</f>
        <v>Philadelphia</v>
      </c>
      <c r="E14" s="10" t="str">
        <f>VLOOKUP('Formula Workbook'!AH13,Cities!$A:$B,2,FALSE)</f>
        <v>Connellsville</v>
      </c>
      <c r="F14" s="10" t="str">
        <f>VLOOKUP('Formula Workbook'!AI13,Cities!$A:$B,2,FALSE)</f>
        <v>Philadelphia</v>
      </c>
      <c r="G14" s="10" t="str">
        <f>VLOOKUP('Formula Workbook'!AJ13,Cities!$A:$B,2,FALSE)</f>
        <v>Harrisburg</v>
      </c>
      <c r="H14" s="10" t="str">
        <f>VLOOKUP('Formula Workbook'!AK13,Cities!$A:$B,2,FALSE)</f>
        <v>Connellsville</v>
      </c>
      <c r="I14" s="10" t="str">
        <f>VLOOKUP('Formula Workbook'!AL13,Cities!$A:$B,2,FALSE)</f>
        <v>Jeannette</v>
      </c>
      <c r="J14" s="10" t="str">
        <f>VLOOKUP('Formula Workbook'!AM13,Cities!$A:$B,2,FALSE)</f>
        <v>Clairton</v>
      </c>
      <c r="K14" s="10" t="str">
        <f>VLOOKUP('Formula Workbook'!AN13,Cities!$A:$B,2,FALSE)</f>
        <v>Easton</v>
      </c>
      <c r="L14" s="10" t="str">
        <f>VLOOKUP('Formula Workbook'!AO13,Cities!$A:$B,2,FALSE)</f>
        <v>Philadelphia</v>
      </c>
      <c r="M14" s="10" t="str">
        <f>VLOOKUP('Formula Workbook'!AP13,Cities!$A:$B,2,FALSE)</f>
        <v>Washington</v>
      </c>
    </row>
    <row r="15" spans="1:13" ht="15.75" customHeight="1" x14ac:dyDescent="0.2">
      <c r="A15" s="9" t="s">
        <v>12</v>
      </c>
      <c r="B15" s="11" t="s">
        <v>240</v>
      </c>
      <c r="C15" s="9">
        <f t="shared" si="0"/>
        <v>2</v>
      </c>
      <c r="D15" s="10" t="str">
        <f>VLOOKUP('Formula Workbook'!AG14,Cities!$A:$B,2,FALSE)</f>
        <v>Beaver Falls</v>
      </c>
      <c r="E15" s="10" t="str">
        <f>VLOOKUP('Formula Workbook'!AH14,Cities!$A:$B,2,FALSE)</f>
        <v>Chester</v>
      </c>
      <c r="F15" s="10" t="str">
        <f>VLOOKUP('Formula Workbook'!AI14,Cities!$A:$B,2,FALSE)</f>
        <v>Corry</v>
      </c>
      <c r="G15" s="10" t="str">
        <f>VLOOKUP('Formula Workbook'!AJ14,Cities!$A:$B,2,FALSE)</f>
        <v>Philadelphia</v>
      </c>
      <c r="H15" s="10" t="str">
        <f>VLOOKUP('Formula Workbook'!AK14,Cities!$A:$B,2,FALSE)</f>
        <v>DuBois</v>
      </c>
      <c r="I15" s="10" t="str">
        <f>VLOOKUP('Formula Workbook'!AL14,Cities!$A:$B,2,FALSE)</f>
        <v>Bradford</v>
      </c>
      <c r="J15" s="10" t="str">
        <f>VLOOKUP('Formula Workbook'!AM14,Cities!$A:$B,2,FALSE)</f>
        <v>Altoona</v>
      </c>
      <c r="K15" s="10" t="str">
        <f>VLOOKUP('Formula Workbook'!AN14,Cities!$A:$B,2,FALSE)</f>
        <v>Erie</v>
      </c>
      <c r="L15" s="10" t="str">
        <f>VLOOKUP('Formula Workbook'!AO14,Cities!$A:$B,2,FALSE)</f>
        <v>Bradford</v>
      </c>
      <c r="M15" s="10" t="str">
        <f>VLOOKUP('Formula Workbook'!AP14,Cities!$A:$B,2,FALSE)</f>
        <v>Altoona</v>
      </c>
    </row>
    <row r="16" spans="1:13" ht="15.75" customHeight="1" x14ac:dyDescent="0.2">
      <c r="A16" s="9" t="s">
        <v>13</v>
      </c>
      <c r="B16" s="11" t="s">
        <v>240</v>
      </c>
      <c r="C16" s="9">
        <f t="shared" si="0"/>
        <v>1</v>
      </c>
      <c r="D16" s="10" t="str">
        <f>VLOOKUP('Formula Workbook'!AG15,Cities!$A:$B,2,FALSE)</f>
        <v>DuBois</v>
      </c>
      <c r="E16" s="10" t="str">
        <f>VLOOKUP('Formula Workbook'!AH15,Cities!$A:$B,2,FALSE)</f>
        <v>Philadelphia</v>
      </c>
      <c r="F16" s="10" t="str">
        <f>VLOOKUP('Formula Workbook'!AI15,Cities!$A:$B,2,FALSE)</f>
        <v>Chester</v>
      </c>
      <c r="G16" s="10" t="str">
        <f>VLOOKUP('Formula Workbook'!AJ15,Cities!$A:$B,2,FALSE)</f>
        <v>Franklin</v>
      </c>
      <c r="H16" s="10" t="str">
        <f>VLOOKUP('Formula Workbook'!AK15,Cities!$A:$B,2,FALSE)</f>
        <v>Pittsburgh</v>
      </c>
      <c r="I16" s="10" t="str">
        <f>VLOOKUP('Formula Workbook'!AL15,Cities!$A:$B,2,FALSE)</f>
        <v>Butler</v>
      </c>
      <c r="J16" s="10" t="str">
        <f>VLOOKUP('Formula Workbook'!AM15,Cities!$A:$B,2,FALSE)</f>
        <v>Altoona</v>
      </c>
      <c r="K16" s="10" t="str">
        <f>VLOOKUP('Formula Workbook'!AN15,Cities!$A:$B,2,FALSE)</f>
        <v>Aliquippa</v>
      </c>
      <c r="L16" s="10" t="str">
        <f>VLOOKUP('Formula Workbook'!AO15,Cities!$A:$B,2,FALSE)</f>
        <v>Beaver Falls</v>
      </c>
      <c r="M16" s="10" t="str">
        <f>VLOOKUP('Formula Workbook'!AP15,Cities!$A:$B,2,FALSE)</f>
        <v>Greensburg</v>
      </c>
    </row>
    <row r="17" spans="1:13" ht="15.75" customHeight="1" x14ac:dyDescent="0.2">
      <c r="A17" s="9" t="s">
        <v>14</v>
      </c>
      <c r="B17" s="13"/>
      <c r="C17" s="9">
        <f t="shared" si="0"/>
        <v>0</v>
      </c>
      <c r="D17" s="10" t="str">
        <f>VLOOKUP('Formula Workbook'!AG16,Cities!$A:$B,2,FALSE)</f>
        <v>Franklin</v>
      </c>
      <c r="E17" s="10" t="str">
        <f>VLOOKUP('Formula Workbook'!AH16,Cities!$A:$B,2,FALSE)</f>
        <v>Wilkes-Barre</v>
      </c>
      <c r="F17" s="10" t="str">
        <f>VLOOKUP('Formula Workbook'!AI16,Cities!$A:$B,2,FALSE)</f>
        <v>Beaver Falls</v>
      </c>
      <c r="G17" s="10" t="str">
        <f>VLOOKUP('Formula Workbook'!AJ16,Cities!$A:$B,2,FALSE)</f>
        <v>Connellsville</v>
      </c>
      <c r="H17" s="10" t="str">
        <f>VLOOKUP('Formula Workbook'!AK16,Cities!$A:$B,2,FALSE)</f>
        <v>Butler</v>
      </c>
      <c r="I17" s="10" t="str">
        <f>VLOOKUP('Formula Workbook'!AL16,Cities!$A:$B,2,FALSE)</f>
        <v>DuBois</v>
      </c>
      <c r="J17" s="10" t="str">
        <f>VLOOKUP('Formula Workbook'!AM16,Cities!$A:$B,2,FALSE)</f>
        <v>Aliquippa</v>
      </c>
      <c r="K17" s="10" t="str">
        <f>VLOOKUP('Formula Workbook'!AN16,Cities!$A:$B,2,FALSE)</f>
        <v>Easton</v>
      </c>
      <c r="L17" s="10" t="str">
        <f>VLOOKUP('Formula Workbook'!AO16,Cities!$A:$B,2,FALSE)</f>
        <v>Connellsville</v>
      </c>
      <c r="M17" s="10" t="str">
        <f>VLOOKUP('Formula Workbook'!AP16,Cities!$A:$B,2,FALSE)</f>
        <v>Wilkes-Barre</v>
      </c>
    </row>
    <row r="18" spans="1:13" ht="15.75" customHeight="1" x14ac:dyDescent="0.2">
      <c r="A18" s="9" t="s">
        <v>15</v>
      </c>
      <c r="B18" s="11" t="s">
        <v>240</v>
      </c>
      <c r="C18" s="9">
        <f t="shared" si="0"/>
        <v>1</v>
      </c>
      <c r="D18" s="10" t="str">
        <f>VLOOKUP('Formula Workbook'!AG17,Cities!$A:$B,2,FALSE)</f>
        <v>Altoona</v>
      </c>
      <c r="E18" s="10" t="str">
        <f>VLOOKUP('Formula Workbook'!AH17,Cities!$A:$B,2,FALSE)</f>
        <v>Hermitage</v>
      </c>
      <c r="F18" s="10" t="str">
        <f>VLOOKUP('Formula Workbook'!AI17,Cities!$A:$B,2,FALSE)</f>
        <v>Bethlehem</v>
      </c>
      <c r="G18" s="10" t="str">
        <f>VLOOKUP('Formula Workbook'!AJ17,Cities!$A:$B,2,FALSE)</f>
        <v>Butler</v>
      </c>
      <c r="H18" s="10" t="str">
        <f>VLOOKUP('Formula Workbook'!AK17,Cities!$A:$B,2,FALSE)</f>
        <v>Greensburg</v>
      </c>
      <c r="I18" s="10" t="str">
        <f>VLOOKUP('Formula Workbook'!AL17,Cities!$A:$B,2,FALSE)</f>
        <v>Duquesne</v>
      </c>
      <c r="J18" s="10" t="str">
        <f>VLOOKUP('Formula Workbook'!AM17,Cities!$A:$B,2,FALSE)</f>
        <v>Jeannette</v>
      </c>
      <c r="K18" s="10" t="str">
        <f>VLOOKUP('Formula Workbook'!AN17,Cities!$A:$B,2,FALSE)</f>
        <v>Erie</v>
      </c>
      <c r="L18" s="10" t="str">
        <f>VLOOKUP('Formula Workbook'!AO17,Cities!$A:$B,2,FALSE)</f>
        <v>Allentown</v>
      </c>
      <c r="M18" s="10" t="str">
        <f>VLOOKUP('Formula Workbook'!AP17,Cities!$A:$B,2,FALSE)</f>
        <v>Franklin</v>
      </c>
    </row>
    <row r="19" spans="1:13" ht="15.75" customHeight="1" x14ac:dyDescent="0.2">
      <c r="A19" s="9" t="s">
        <v>16</v>
      </c>
      <c r="B19" s="13"/>
      <c r="C19" s="9">
        <f t="shared" si="0"/>
        <v>0</v>
      </c>
      <c r="D19" s="10" t="str">
        <f>VLOOKUP('Formula Workbook'!AG18,Cities!$A:$B,2,FALSE)</f>
        <v>Connellsville</v>
      </c>
      <c r="E19" s="10" t="str">
        <f>VLOOKUP('Formula Workbook'!AH18,Cities!$A:$B,2,FALSE)</f>
        <v>Allentown</v>
      </c>
      <c r="F19" s="10" t="str">
        <f>VLOOKUP('Formula Workbook'!AI18,Cities!$A:$B,2,FALSE)</f>
        <v>Pittsburgh</v>
      </c>
      <c r="G19" s="10" t="str">
        <f>VLOOKUP('Formula Workbook'!AJ18,Cities!$A:$B,2,FALSE)</f>
        <v>Connellsville</v>
      </c>
      <c r="H19" s="10" t="str">
        <f>VLOOKUP('Formula Workbook'!AK18,Cities!$A:$B,2,FALSE)</f>
        <v>Beaver Falls</v>
      </c>
      <c r="I19" s="10" t="str">
        <f>VLOOKUP('Formula Workbook'!AL18,Cities!$A:$B,2,FALSE)</f>
        <v>Reading</v>
      </c>
      <c r="J19" s="10" t="str">
        <f>VLOOKUP('Formula Workbook'!AM18,Cities!$A:$B,2,FALSE)</f>
        <v>Jeannette</v>
      </c>
      <c r="K19" s="10" t="str">
        <f>VLOOKUP('Formula Workbook'!AN18,Cities!$A:$B,2,FALSE)</f>
        <v>Chester</v>
      </c>
      <c r="L19" s="10" t="str">
        <f>VLOOKUP('Formula Workbook'!AO18,Cities!$A:$B,2,FALSE)</f>
        <v>Pittsburgh</v>
      </c>
      <c r="M19" s="10" t="str">
        <f>VLOOKUP('Formula Workbook'!AP18,Cities!$A:$B,2,FALSE)</f>
        <v>Washington</v>
      </c>
    </row>
    <row r="20" spans="1:13" ht="15.75" customHeight="1" x14ac:dyDescent="0.2">
      <c r="A20" s="9" t="s">
        <v>17</v>
      </c>
      <c r="B20" s="13"/>
      <c r="C20" s="9">
        <f t="shared" si="0"/>
        <v>0</v>
      </c>
      <c r="D20" s="10" t="str">
        <f>VLOOKUP('Formula Workbook'!AG19,Cities!$A:$B,2,FALSE)</f>
        <v>Bethlehem</v>
      </c>
      <c r="E20" s="10" t="str">
        <f>VLOOKUP('Formula Workbook'!AH19,Cities!$A:$B,2,FALSE)</f>
        <v>Wilkes-Barre</v>
      </c>
      <c r="F20" s="10" t="str">
        <f>VLOOKUP('Formula Workbook'!AI19,Cities!$A:$B,2,FALSE)</f>
        <v>Bethlehem</v>
      </c>
      <c r="G20" s="10" t="str">
        <f>VLOOKUP('Formula Workbook'!AJ19,Cities!$A:$B,2,FALSE)</f>
        <v>Reading</v>
      </c>
      <c r="H20" s="10" t="str">
        <f>VLOOKUP('Formula Workbook'!AK19,Cities!$A:$B,2,FALSE)</f>
        <v>Corry</v>
      </c>
      <c r="I20" s="10" t="str">
        <f>VLOOKUP('Formula Workbook'!AL19,Cities!$A:$B,2,FALSE)</f>
        <v>Bethlehem</v>
      </c>
      <c r="J20" s="10" t="str">
        <f>VLOOKUP('Formula Workbook'!AM19,Cities!$A:$B,2,FALSE)</f>
        <v>Chester</v>
      </c>
      <c r="K20" s="10" t="str">
        <f>VLOOKUP('Formula Workbook'!AN19,Cities!$A:$B,2,FALSE)</f>
        <v>Washington</v>
      </c>
      <c r="L20" s="10" t="str">
        <f>VLOOKUP('Formula Workbook'!AO19,Cities!$A:$B,2,FALSE)</f>
        <v>Erie</v>
      </c>
      <c r="M20" s="10" t="str">
        <f>VLOOKUP('Formula Workbook'!AP19,Cities!$A:$B,2,FALSE)</f>
        <v>Duquesne</v>
      </c>
    </row>
    <row r="21" spans="1:13" ht="15.75" customHeight="1" x14ac:dyDescent="0.2">
      <c r="A21" s="9" t="s">
        <v>18</v>
      </c>
      <c r="B21" s="13"/>
      <c r="C21" s="9">
        <f t="shared" si="0"/>
        <v>0</v>
      </c>
      <c r="D21" s="10" t="str">
        <f>VLOOKUP('Formula Workbook'!AG20,Cities!$A:$B,2,FALSE)</f>
        <v>Beaver Falls</v>
      </c>
      <c r="E21" s="10" t="str">
        <f>VLOOKUP('Formula Workbook'!AH20,Cities!$A:$B,2,FALSE)</f>
        <v>Reading</v>
      </c>
      <c r="F21" s="10" t="str">
        <f>VLOOKUP('Formula Workbook'!AI20,Cities!$A:$B,2,FALSE)</f>
        <v>DuBois</v>
      </c>
      <c r="G21" s="10" t="str">
        <f>VLOOKUP('Formula Workbook'!AJ20,Cities!$A:$B,2,FALSE)</f>
        <v>Clairton</v>
      </c>
      <c r="H21" s="10" t="str">
        <f>VLOOKUP('Formula Workbook'!AK20,Cities!$A:$B,2,FALSE)</f>
        <v>Beaver Falls</v>
      </c>
      <c r="I21" s="10" t="str">
        <f>VLOOKUP('Formula Workbook'!AL20,Cities!$A:$B,2,FALSE)</f>
        <v>DuBois</v>
      </c>
      <c r="J21" s="10" t="str">
        <f>VLOOKUP('Formula Workbook'!AM20,Cities!$A:$B,2,FALSE)</f>
        <v>Beaver Falls</v>
      </c>
      <c r="K21" s="10" t="str">
        <f>VLOOKUP('Formula Workbook'!AN20,Cities!$A:$B,2,FALSE)</f>
        <v>Easton</v>
      </c>
      <c r="L21" s="10" t="str">
        <f>VLOOKUP('Formula Workbook'!AO20,Cities!$A:$B,2,FALSE)</f>
        <v>Allentown</v>
      </c>
      <c r="M21" s="10" t="str">
        <f>VLOOKUP('Formula Workbook'!AP20,Cities!$A:$B,2,FALSE)</f>
        <v>Erie</v>
      </c>
    </row>
    <row r="22" spans="1:13" ht="15.75" customHeight="1" x14ac:dyDescent="0.2">
      <c r="A22" s="9" t="s">
        <v>19</v>
      </c>
      <c r="B22" s="11" t="s">
        <v>240</v>
      </c>
      <c r="C22" s="9">
        <f t="shared" si="0"/>
        <v>1</v>
      </c>
      <c r="D22" s="10" t="str">
        <f>VLOOKUP('Formula Workbook'!AG21,Cities!$A:$B,2,FALSE)</f>
        <v>Aliquippa</v>
      </c>
      <c r="E22" s="10" t="str">
        <f>VLOOKUP('Formula Workbook'!AH21,Cities!$A:$B,2,FALSE)</f>
        <v>DuBois</v>
      </c>
      <c r="F22" s="10" t="str">
        <f>VLOOKUP('Formula Workbook'!AI21,Cities!$A:$B,2,FALSE)</f>
        <v>Wilkes-Barre</v>
      </c>
      <c r="G22" s="10" t="str">
        <f>VLOOKUP('Formula Workbook'!AJ21,Cities!$A:$B,2,FALSE)</f>
        <v>Allentown</v>
      </c>
      <c r="H22" s="10" t="str">
        <f>VLOOKUP('Formula Workbook'!AK21,Cities!$A:$B,2,FALSE)</f>
        <v>DuBois</v>
      </c>
      <c r="I22" s="10" t="str">
        <f>VLOOKUP('Formula Workbook'!AL21,Cities!$A:$B,2,FALSE)</f>
        <v>Altoona</v>
      </c>
      <c r="J22" s="10" t="str">
        <f>VLOOKUP('Formula Workbook'!AM21,Cities!$A:$B,2,FALSE)</f>
        <v>Chester</v>
      </c>
      <c r="K22" s="10" t="str">
        <f>VLOOKUP('Formula Workbook'!AN21,Cities!$A:$B,2,FALSE)</f>
        <v>Connellsville</v>
      </c>
      <c r="L22" s="10" t="str">
        <f>VLOOKUP('Formula Workbook'!AO21,Cities!$A:$B,2,FALSE)</f>
        <v>Greensburg</v>
      </c>
      <c r="M22" s="10" t="str">
        <f>VLOOKUP('Formula Workbook'!AP21,Cities!$A:$B,2,FALSE)</f>
        <v>Pittsburgh</v>
      </c>
    </row>
    <row r="23" spans="1:13" ht="15.75" customHeight="1" x14ac:dyDescent="0.2">
      <c r="A23" s="9" t="s">
        <v>20</v>
      </c>
      <c r="B23" s="13"/>
      <c r="C23" s="9">
        <f t="shared" si="0"/>
        <v>0</v>
      </c>
      <c r="D23" s="10" t="str">
        <f>VLOOKUP('Formula Workbook'!AG22,Cities!$A:$B,2,FALSE)</f>
        <v>Pittsburgh</v>
      </c>
      <c r="E23" s="10" t="str">
        <f>VLOOKUP('Formula Workbook'!AH22,Cities!$A:$B,2,FALSE)</f>
        <v>Jeannette</v>
      </c>
      <c r="F23" s="10" t="str">
        <f>VLOOKUP('Formula Workbook'!AI22,Cities!$A:$B,2,FALSE)</f>
        <v>Bethlehem</v>
      </c>
      <c r="G23" s="10" t="str">
        <f>VLOOKUP('Formula Workbook'!AJ22,Cities!$A:$B,2,FALSE)</f>
        <v>Hermitage</v>
      </c>
      <c r="H23" s="10" t="str">
        <f>VLOOKUP('Formula Workbook'!AK22,Cities!$A:$B,2,FALSE)</f>
        <v>Franklin</v>
      </c>
      <c r="I23" s="10" t="str">
        <f>VLOOKUP('Formula Workbook'!AL22,Cities!$A:$B,2,FALSE)</f>
        <v>Wilkes-Barre</v>
      </c>
      <c r="J23" s="10" t="str">
        <f>VLOOKUP('Formula Workbook'!AM22,Cities!$A:$B,2,FALSE)</f>
        <v>Reading</v>
      </c>
      <c r="K23" s="10" t="str">
        <f>VLOOKUP('Formula Workbook'!AN22,Cities!$A:$B,2,FALSE)</f>
        <v>Bethlehem</v>
      </c>
      <c r="L23" s="10" t="str">
        <f>VLOOKUP('Formula Workbook'!AO22,Cities!$A:$B,2,FALSE)</f>
        <v>Greensburg</v>
      </c>
      <c r="M23" s="10" t="str">
        <f>VLOOKUP('Formula Workbook'!AP22,Cities!$A:$B,2,FALSE)</f>
        <v>Pittsburgh</v>
      </c>
    </row>
    <row r="24" spans="1:13" ht="15.75" customHeight="1" x14ac:dyDescent="0.2">
      <c r="A24" s="9" t="s">
        <v>21</v>
      </c>
      <c r="B24" s="11" t="s">
        <v>240</v>
      </c>
      <c r="C24" s="9">
        <f t="shared" si="0"/>
        <v>1</v>
      </c>
      <c r="D24" s="10" t="str">
        <f>VLOOKUP('Formula Workbook'!AG23,Cities!$A:$B,2,FALSE)</f>
        <v>Bethlehem</v>
      </c>
      <c r="E24" s="10" t="str">
        <f>VLOOKUP('Formula Workbook'!AH23,Cities!$A:$B,2,FALSE)</f>
        <v>Corry</v>
      </c>
      <c r="F24" s="10" t="str">
        <f>VLOOKUP('Formula Workbook'!AI23,Cities!$A:$B,2,FALSE)</f>
        <v>Allentown</v>
      </c>
      <c r="G24" s="10" t="str">
        <f>VLOOKUP('Formula Workbook'!AJ23,Cities!$A:$B,2,FALSE)</f>
        <v>Altoona</v>
      </c>
      <c r="H24" s="10" t="str">
        <f>VLOOKUP('Formula Workbook'!AK23,Cities!$A:$B,2,FALSE)</f>
        <v>Corry</v>
      </c>
      <c r="I24" s="10" t="str">
        <f>VLOOKUP('Formula Workbook'!AL23,Cities!$A:$B,2,FALSE)</f>
        <v>Reading</v>
      </c>
      <c r="J24" s="10" t="str">
        <f>VLOOKUP('Formula Workbook'!AM23,Cities!$A:$B,2,FALSE)</f>
        <v>Bethlehem</v>
      </c>
      <c r="K24" s="10" t="str">
        <f>VLOOKUP('Formula Workbook'!AN23,Cities!$A:$B,2,FALSE)</f>
        <v>Easton</v>
      </c>
      <c r="L24" s="10" t="str">
        <f>VLOOKUP('Formula Workbook'!AO23,Cities!$A:$B,2,FALSE)</f>
        <v>Beaver Falls</v>
      </c>
      <c r="M24" s="10" t="str">
        <f>VLOOKUP('Formula Workbook'!AP23,Cities!$A:$B,2,FALSE)</f>
        <v>Philadelphia</v>
      </c>
    </row>
    <row r="25" spans="1:13" ht="15.75" customHeight="1" x14ac:dyDescent="0.2">
      <c r="A25" s="9" t="s">
        <v>22</v>
      </c>
      <c r="B25" s="11" t="s">
        <v>240</v>
      </c>
      <c r="C25" s="9">
        <f t="shared" si="0"/>
        <v>1</v>
      </c>
      <c r="D25" s="10" t="str">
        <f>VLOOKUP('Formula Workbook'!AG24,Cities!$A:$B,2,FALSE)</f>
        <v>Bradford</v>
      </c>
      <c r="E25" s="10" t="str">
        <f>VLOOKUP('Formula Workbook'!AH24,Cities!$A:$B,2,FALSE)</f>
        <v>Beaver Falls</v>
      </c>
      <c r="F25" s="10" t="str">
        <f>VLOOKUP('Formula Workbook'!AI24,Cities!$A:$B,2,FALSE)</f>
        <v>Duquesne</v>
      </c>
      <c r="G25" s="10" t="str">
        <f>VLOOKUP('Formula Workbook'!AJ24,Cities!$A:$B,2,FALSE)</f>
        <v>Altoona</v>
      </c>
      <c r="H25" s="10" t="str">
        <f>VLOOKUP('Formula Workbook'!AK24,Cities!$A:$B,2,FALSE)</f>
        <v>Connellsville</v>
      </c>
      <c r="I25" s="10" t="str">
        <f>VLOOKUP('Formula Workbook'!AL24,Cities!$A:$B,2,FALSE)</f>
        <v>Easton</v>
      </c>
      <c r="J25" s="10" t="str">
        <f>VLOOKUP('Formula Workbook'!AM24,Cities!$A:$B,2,FALSE)</f>
        <v>Erie</v>
      </c>
      <c r="K25" s="10" t="str">
        <f>VLOOKUP('Formula Workbook'!AN24,Cities!$A:$B,2,FALSE)</f>
        <v>Hazleton</v>
      </c>
      <c r="L25" s="10" t="str">
        <f>VLOOKUP('Formula Workbook'!AO24,Cities!$A:$B,2,FALSE)</f>
        <v>DuBois</v>
      </c>
      <c r="M25" s="10" t="str">
        <f>VLOOKUP('Formula Workbook'!AP24,Cities!$A:$B,2,FALSE)</f>
        <v>Butler</v>
      </c>
    </row>
    <row r="26" spans="1:13" ht="15.75" customHeight="1" x14ac:dyDescent="0.2">
      <c r="A26" s="9" t="s">
        <v>23</v>
      </c>
      <c r="B26" s="13"/>
      <c r="C26" s="9">
        <f t="shared" si="0"/>
        <v>1</v>
      </c>
      <c r="D26" s="10" t="str">
        <f>VLOOKUP('Formula Workbook'!AG25,Cities!$A:$B,2,FALSE)</f>
        <v>Duquesne</v>
      </c>
      <c r="E26" s="10" t="str">
        <f>VLOOKUP('Formula Workbook'!AH25,Cities!$A:$B,2,FALSE)</f>
        <v>Harrisburg</v>
      </c>
      <c r="F26" s="10" t="str">
        <f>VLOOKUP('Formula Workbook'!AI25,Cities!$A:$B,2,FALSE)</f>
        <v>Duquesne</v>
      </c>
      <c r="G26" s="10" t="str">
        <f>VLOOKUP('Formula Workbook'!AJ25,Cities!$A:$B,2,FALSE)</f>
        <v>Erie</v>
      </c>
      <c r="H26" s="10" t="str">
        <f>VLOOKUP('Formula Workbook'!AK25,Cities!$A:$B,2,FALSE)</f>
        <v>Wilkes-Barre</v>
      </c>
      <c r="I26" s="10" t="str">
        <f>VLOOKUP('Formula Workbook'!AL25,Cities!$A:$B,2,FALSE)</f>
        <v>Clairton</v>
      </c>
      <c r="J26" s="10" t="str">
        <f>VLOOKUP('Formula Workbook'!AM25,Cities!$A:$B,2,FALSE)</f>
        <v>Altoona</v>
      </c>
      <c r="K26" s="10" t="str">
        <f>VLOOKUP('Formula Workbook'!AN25,Cities!$A:$B,2,FALSE)</f>
        <v>Duquesne</v>
      </c>
      <c r="L26" s="10" t="str">
        <f>VLOOKUP('Formula Workbook'!AO25,Cities!$A:$B,2,FALSE)</f>
        <v>DuBois</v>
      </c>
      <c r="M26" s="10" t="str">
        <f>VLOOKUP('Formula Workbook'!AP25,Cities!$A:$B,2,FALSE)</f>
        <v>Connellsville</v>
      </c>
    </row>
    <row r="27" spans="1:13" ht="15.75" customHeight="1" x14ac:dyDescent="0.2">
      <c r="A27" s="9" t="s">
        <v>24</v>
      </c>
      <c r="B27" s="13"/>
      <c r="C27" s="9">
        <f t="shared" si="0"/>
        <v>0</v>
      </c>
      <c r="D27" s="10" t="str">
        <f>VLOOKUP('Formula Workbook'!AG26,Cities!$A:$B,2,FALSE)</f>
        <v>Harrisburg</v>
      </c>
      <c r="E27" s="10" t="str">
        <f>VLOOKUP('Formula Workbook'!AH26,Cities!$A:$B,2,FALSE)</f>
        <v>Philadelphia</v>
      </c>
      <c r="F27" s="10" t="str">
        <f>VLOOKUP('Formula Workbook'!AI26,Cities!$A:$B,2,FALSE)</f>
        <v>Connellsville</v>
      </c>
      <c r="G27" s="10" t="str">
        <f>VLOOKUP('Formula Workbook'!AJ26,Cities!$A:$B,2,FALSE)</f>
        <v>Clairton</v>
      </c>
      <c r="H27" s="10" t="str">
        <f>VLOOKUP('Formula Workbook'!AK26,Cities!$A:$B,2,FALSE)</f>
        <v>Aliquippa</v>
      </c>
      <c r="I27" s="10" t="str">
        <f>VLOOKUP('Formula Workbook'!AL26,Cities!$A:$B,2,FALSE)</f>
        <v>Philadelphia</v>
      </c>
      <c r="J27" s="10" t="str">
        <f>VLOOKUP('Formula Workbook'!AM26,Cities!$A:$B,2,FALSE)</f>
        <v>Hazleton</v>
      </c>
      <c r="K27" s="10" t="str">
        <f>VLOOKUP('Formula Workbook'!AN26,Cities!$A:$B,2,FALSE)</f>
        <v>Greensburg</v>
      </c>
      <c r="L27" s="10" t="str">
        <f>VLOOKUP('Formula Workbook'!AO26,Cities!$A:$B,2,FALSE)</f>
        <v>Clairton</v>
      </c>
      <c r="M27" s="10" t="str">
        <f>VLOOKUP('Formula Workbook'!AP26,Cities!$A:$B,2,FALSE)</f>
        <v>Bethlehem</v>
      </c>
    </row>
    <row r="28" spans="1:13" ht="15.75" customHeight="1" x14ac:dyDescent="0.2">
      <c r="A28" s="9" t="s">
        <v>25</v>
      </c>
      <c r="B28" s="11" t="s">
        <v>240</v>
      </c>
      <c r="C28" s="9">
        <f t="shared" si="0"/>
        <v>1</v>
      </c>
      <c r="D28" s="10" t="str">
        <f>VLOOKUP('Formula Workbook'!AG27,Cities!$A:$B,2,FALSE)</f>
        <v>Reading</v>
      </c>
      <c r="E28" s="10" t="str">
        <f>VLOOKUP('Formula Workbook'!AH27,Cities!$A:$B,2,FALSE)</f>
        <v>Altoona</v>
      </c>
      <c r="F28" s="10" t="str">
        <f>VLOOKUP('Formula Workbook'!AI27,Cities!$A:$B,2,FALSE)</f>
        <v>Washington</v>
      </c>
      <c r="G28" s="10" t="str">
        <f>VLOOKUP('Formula Workbook'!AJ27,Cities!$A:$B,2,FALSE)</f>
        <v>Duquesne</v>
      </c>
      <c r="H28" s="10" t="str">
        <f>VLOOKUP('Formula Workbook'!AK27,Cities!$A:$B,2,FALSE)</f>
        <v>Greensburg</v>
      </c>
      <c r="I28" s="10" t="str">
        <f>VLOOKUP('Formula Workbook'!AL27,Cities!$A:$B,2,FALSE)</f>
        <v>Franklin</v>
      </c>
      <c r="J28" s="10" t="str">
        <f>VLOOKUP('Formula Workbook'!AM27,Cities!$A:$B,2,FALSE)</f>
        <v>Philadelphia</v>
      </c>
      <c r="K28" s="10" t="str">
        <f>VLOOKUP('Formula Workbook'!AN27,Cities!$A:$B,2,FALSE)</f>
        <v>Wilkes-Barre</v>
      </c>
      <c r="L28" s="10" t="str">
        <f>VLOOKUP('Formula Workbook'!AO27,Cities!$A:$B,2,FALSE)</f>
        <v>Reading</v>
      </c>
      <c r="M28" s="10" t="str">
        <f>VLOOKUP('Formula Workbook'!AP27,Cities!$A:$B,2,FALSE)</f>
        <v>Greensburg</v>
      </c>
    </row>
  </sheetData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8"/>
  <sheetViews>
    <sheetView zoomScale="160" zoomScaleNormal="160" workbookViewId="0">
      <selection activeCell="G12" sqref="G12"/>
    </sheetView>
  </sheetViews>
  <sheetFormatPr defaultRowHeight="12" x14ac:dyDescent="0.2"/>
  <cols>
    <col min="1" max="1" width="5.28515625" style="8" customWidth="1"/>
    <col min="2" max="2" width="9.42578125" style="8" customWidth="1"/>
    <col min="3" max="3" width="9.42578125" style="8" hidden="1" customWidth="1"/>
    <col min="4" max="13" width="8.7109375" style="8" customWidth="1"/>
    <col min="14" max="16384" width="9.140625" style="8"/>
  </cols>
  <sheetData>
    <row r="1" spans="1:13" ht="22.5" customHeight="1" x14ac:dyDescent="0.2">
      <c r="G1" s="8" t="s">
        <v>220</v>
      </c>
      <c r="J1" s="8" t="s">
        <v>224</v>
      </c>
    </row>
    <row r="2" spans="1:13" x14ac:dyDescent="0.2">
      <c r="A2" s="8" t="s">
        <v>52</v>
      </c>
      <c r="C2" s="8" t="s">
        <v>85</v>
      </c>
      <c r="D2" s="8" t="s">
        <v>143</v>
      </c>
      <c r="E2" s="8" t="s">
        <v>144</v>
      </c>
      <c r="F2" s="8" t="s">
        <v>145</v>
      </c>
      <c r="G2" s="8" t="s">
        <v>146</v>
      </c>
      <c r="H2" s="8" t="s">
        <v>147</v>
      </c>
      <c r="I2" s="8" t="s">
        <v>148</v>
      </c>
      <c r="J2" s="8" t="s">
        <v>149</v>
      </c>
      <c r="K2" s="8" t="s">
        <v>150</v>
      </c>
      <c r="L2" s="8" t="s">
        <v>151</v>
      </c>
      <c r="M2" s="8" t="s">
        <v>152</v>
      </c>
    </row>
    <row r="3" spans="1:13" ht="15.75" customHeight="1" x14ac:dyDescent="0.2">
      <c r="A3" s="9" t="s">
        <v>0</v>
      </c>
      <c r="B3" s="11" t="s">
        <v>241</v>
      </c>
      <c r="C3" s="9">
        <f>COUNTIF(D3:M3, "Duquesne")</f>
        <v>1</v>
      </c>
      <c r="D3" s="10" t="str">
        <f>VLOOKUP('Formula Workbook'!AQ2,Cities!$A:$B,2,FALSE)</f>
        <v>Franklin</v>
      </c>
      <c r="E3" s="10" t="str">
        <f>VLOOKUP('Formula Workbook'!AR2,Cities!$A:$B,2,FALSE)</f>
        <v>Hermitage</v>
      </c>
      <c r="F3" s="10" t="str">
        <f>VLOOKUP('Formula Workbook'!AS2,Cities!$A:$B,2,FALSE)</f>
        <v>Duquesne</v>
      </c>
      <c r="G3" s="10" t="str">
        <f>VLOOKUP('Formula Workbook'!AT2,Cities!$A:$B,2,FALSE)</f>
        <v>DuBois</v>
      </c>
      <c r="H3" s="10" t="str">
        <f>VLOOKUP('Formula Workbook'!AU2,Cities!$A:$B,2,FALSE)</f>
        <v>Washington</v>
      </c>
      <c r="I3" s="10" t="str">
        <f>VLOOKUP('Formula Workbook'!AV2,Cities!$A:$B,2,FALSE)</f>
        <v>Greensburg</v>
      </c>
      <c r="J3" s="10" t="str">
        <f>VLOOKUP('Formula Workbook'!AW2,Cities!$A:$B,2,FALSE)</f>
        <v>Greensburg</v>
      </c>
      <c r="K3" s="10" t="str">
        <f>VLOOKUP('Formula Workbook'!AX2,Cities!$A:$B,2,FALSE)</f>
        <v>Philadelphia</v>
      </c>
      <c r="L3" s="10" t="str">
        <f>VLOOKUP('Formula Workbook'!AY2,Cities!$A:$B,2,FALSE)</f>
        <v>Clairton</v>
      </c>
      <c r="M3" s="10" t="str">
        <f>VLOOKUP('Formula Workbook'!AZ2,Cities!$A:$B,2,FALSE)</f>
        <v>Erie</v>
      </c>
    </row>
    <row r="4" spans="1:13" ht="15.75" customHeight="1" x14ac:dyDescent="0.2">
      <c r="A4" s="9" t="s">
        <v>1</v>
      </c>
      <c r="B4" s="13"/>
      <c r="C4" s="9">
        <f t="shared" ref="C4:C28" si="0">COUNTIF(D4:M4, "Duquesne")</f>
        <v>0</v>
      </c>
      <c r="D4" s="10" t="str">
        <f>VLOOKUP('Formula Workbook'!AQ3,Cities!$A:$B,2,FALSE)</f>
        <v>Bethlehem</v>
      </c>
      <c r="E4" s="10" t="str">
        <f>VLOOKUP('Formula Workbook'!AR3,Cities!$A:$B,2,FALSE)</f>
        <v>Allentown</v>
      </c>
      <c r="F4" s="10" t="str">
        <f>VLOOKUP('Formula Workbook'!AS3,Cities!$A:$B,2,FALSE)</f>
        <v>Harrisburg</v>
      </c>
      <c r="G4" s="10" t="str">
        <f>VLOOKUP('Formula Workbook'!AT3,Cities!$A:$B,2,FALSE)</f>
        <v>Bethlehem</v>
      </c>
      <c r="H4" s="10" t="str">
        <f>VLOOKUP('Formula Workbook'!AU3,Cities!$A:$B,2,FALSE)</f>
        <v>Erie</v>
      </c>
      <c r="I4" s="10" t="str">
        <f>VLOOKUP('Formula Workbook'!AV3,Cities!$A:$B,2,FALSE)</f>
        <v>Butler</v>
      </c>
      <c r="J4" s="10" t="str">
        <f>VLOOKUP('Formula Workbook'!AW3,Cities!$A:$B,2,FALSE)</f>
        <v>Corry</v>
      </c>
      <c r="K4" s="10" t="str">
        <f>VLOOKUP('Formula Workbook'!AX3,Cities!$A:$B,2,FALSE)</f>
        <v>Hazleton</v>
      </c>
      <c r="L4" s="10" t="str">
        <f>VLOOKUP('Formula Workbook'!AY3,Cities!$A:$B,2,FALSE)</f>
        <v>DuBois</v>
      </c>
      <c r="M4" s="10" t="str">
        <f>VLOOKUP('Formula Workbook'!AZ3,Cities!$A:$B,2,FALSE)</f>
        <v>Philadelphia</v>
      </c>
    </row>
    <row r="5" spans="1:13" ht="15.75" customHeight="1" x14ac:dyDescent="0.2">
      <c r="A5" s="9" t="s">
        <v>2</v>
      </c>
      <c r="B5" s="11" t="s">
        <v>241</v>
      </c>
      <c r="C5" s="9">
        <f t="shared" si="0"/>
        <v>1</v>
      </c>
      <c r="D5" s="10" t="str">
        <f>VLOOKUP('Formula Workbook'!AQ4,Cities!$A:$B,2,FALSE)</f>
        <v>Hazleton</v>
      </c>
      <c r="E5" s="10" t="str">
        <f>VLOOKUP('Formula Workbook'!AR4,Cities!$A:$B,2,FALSE)</f>
        <v>Aliquippa</v>
      </c>
      <c r="F5" s="10" t="str">
        <f>VLOOKUP('Formula Workbook'!AS4,Cities!$A:$B,2,FALSE)</f>
        <v>Duquesne</v>
      </c>
      <c r="G5" s="10" t="str">
        <f>VLOOKUP('Formula Workbook'!AT4,Cities!$A:$B,2,FALSE)</f>
        <v>Connellsville</v>
      </c>
      <c r="H5" s="10" t="str">
        <f>VLOOKUP('Formula Workbook'!AU4,Cities!$A:$B,2,FALSE)</f>
        <v>Reading</v>
      </c>
      <c r="I5" s="10" t="str">
        <f>VLOOKUP('Formula Workbook'!AV4,Cities!$A:$B,2,FALSE)</f>
        <v>Beaver Falls</v>
      </c>
      <c r="J5" s="10" t="str">
        <f>VLOOKUP('Formula Workbook'!AW4,Cities!$A:$B,2,FALSE)</f>
        <v>Hermitage</v>
      </c>
      <c r="K5" s="10" t="str">
        <f>VLOOKUP('Formula Workbook'!AX4,Cities!$A:$B,2,FALSE)</f>
        <v>Clairton</v>
      </c>
      <c r="L5" s="10" t="str">
        <f>VLOOKUP('Formula Workbook'!AY4,Cities!$A:$B,2,FALSE)</f>
        <v>Pittsburgh</v>
      </c>
      <c r="M5" s="10" t="str">
        <f>VLOOKUP('Formula Workbook'!AZ4,Cities!$A:$B,2,FALSE)</f>
        <v>Altoona</v>
      </c>
    </row>
    <row r="6" spans="1:13" ht="15.75" customHeight="1" x14ac:dyDescent="0.2">
      <c r="A6" s="9" t="s">
        <v>3</v>
      </c>
      <c r="B6" s="13"/>
      <c r="C6" s="9">
        <f t="shared" si="0"/>
        <v>0</v>
      </c>
      <c r="D6" s="10" t="str">
        <f>VLOOKUP('Formula Workbook'!AQ5,Cities!$A:$B,2,FALSE)</f>
        <v>Bradford</v>
      </c>
      <c r="E6" s="10" t="str">
        <f>VLOOKUP('Formula Workbook'!AR5,Cities!$A:$B,2,FALSE)</f>
        <v>Corry</v>
      </c>
      <c r="F6" s="10" t="str">
        <f>VLOOKUP('Formula Workbook'!AS5,Cities!$A:$B,2,FALSE)</f>
        <v>Easton</v>
      </c>
      <c r="G6" s="10" t="str">
        <f>VLOOKUP('Formula Workbook'!AT5,Cities!$A:$B,2,FALSE)</f>
        <v>Altoona</v>
      </c>
      <c r="H6" s="10" t="str">
        <f>VLOOKUP('Formula Workbook'!AU5,Cities!$A:$B,2,FALSE)</f>
        <v>Corry</v>
      </c>
      <c r="I6" s="10" t="str">
        <f>VLOOKUP('Formula Workbook'!AV5,Cities!$A:$B,2,FALSE)</f>
        <v>Clairton</v>
      </c>
      <c r="J6" s="10" t="str">
        <f>VLOOKUP('Formula Workbook'!AW5,Cities!$A:$B,2,FALSE)</f>
        <v>Aliquippa</v>
      </c>
      <c r="K6" s="10" t="str">
        <f>VLOOKUP('Formula Workbook'!AX5,Cities!$A:$B,2,FALSE)</f>
        <v>Pittsburgh</v>
      </c>
      <c r="L6" s="10" t="str">
        <f>VLOOKUP('Formula Workbook'!AY5,Cities!$A:$B,2,FALSE)</f>
        <v>Reading</v>
      </c>
      <c r="M6" s="10" t="str">
        <f>VLOOKUP('Formula Workbook'!AZ5,Cities!$A:$B,2,FALSE)</f>
        <v>Bethlehem</v>
      </c>
    </row>
    <row r="7" spans="1:13" ht="15.75" customHeight="1" x14ac:dyDescent="0.2">
      <c r="A7" s="9" t="s">
        <v>4</v>
      </c>
      <c r="B7" s="13"/>
      <c r="C7" s="9">
        <f t="shared" si="0"/>
        <v>0</v>
      </c>
      <c r="D7" s="10" t="str">
        <f>VLOOKUP('Formula Workbook'!AQ6,Cities!$A:$B,2,FALSE)</f>
        <v>Beaver Falls</v>
      </c>
      <c r="E7" s="10" t="str">
        <f>VLOOKUP('Formula Workbook'!AR6,Cities!$A:$B,2,FALSE)</f>
        <v>Hermitage</v>
      </c>
      <c r="F7" s="10" t="str">
        <f>VLOOKUP('Formula Workbook'!AS6,Cities!$A:$B,2,FALSE)</f>
        <v>Hazleton</v>
      </c>
      <c r="G7" s="10" t="str">
        <f>VLOOKUP('Formula Workbook'!AT6,Cities!$A:$B,2,FALSE)</f>
        <v>Erie</v>
      </c>
      <c r="H7" s="10" t="str">
        <f>VLOOKUP('Formula Workbook'!AU6,Cities!$A:$B,2,FALSE)</f>
        <v>Chester</v>
      </c>
      <c r="I7" s="10" t="str">
        <f>VLOOKUP('Formula Workbook'!AV6,Cities!$A:$B,2,FALSE)</f>
        <v>Pittsburgh</v>
      </c>
      <c r="J7" s="10" t="str">
        <f>VLOOKUP('Formula Workbook'!AW6,Cities!$A:$B,2,FALSE)</f>
        <v>Washington</v>
      </c>
      <c r="K7" s="10" t="str">
        <f>VLOOKUP('Formula Workbook'!AX6,Cities!$A:$B,2,FALSE)</f>
        <v>Erie</v>
      </c>
      <c r="L7" s="10" t="str">
        <f>VLOOKUP('Formula Workbook'!AY6,Cities!$A:$B,2,FALSE)</f>
        <v>Corry</v>
      </c>
      <c r="M7" s="10" t="str">
        <f>VLOOKUP('Formula Workbook'!AZ6,Cities!$A:$B,2,FALSE)</f>
        <v>Corry</v>
      </c>
    </row>
    <row r="8" spans="1:13" ht="15.75" customHeight="1" x14ac:dyDescent="0.2">
      <c r="A8" s="9" t="s">
        <v>5</v>
      </c>
      <c r="B8" s="11" t="s">
        <v>241</v>
      </c>
      <c r="C8" s="9">
        <f t="shared" si="0"/>
        <v>1</v>
      </c>
      <c r="D8" s="10" t="str">
        <f>VLOOKUP('Formula Workbook'!AQ7,Cities!$A:$B,2,FALSE)</f>
        <v>Bethlehem</v>
      </c>
      <c r="E8" s="10" t="str">
        <f>VLOOKUP('Formula Workbook'!AR7,Cities!$A:$B,2,FALSE)</f>
        <v>Pittsburgh</v>
      </c>
      <c r="F8" s="10" t="str">
        <f>VLOOKUP('Formula Workbook'!AS7,Cities!$A:$B,2,FALSE)</f>
        <v>Washington</v>
      </c>
      <c r="G8" s="10" t="str">
        <f>VLOOKUP('Formula Workbook'!AT7,Cities!$A:$B,2,FALSE)</f>
        <v>DuBois</v>
      </c>
      <c r="H8" s="10" t="str">
        <f>VLOOKUP('Formula Workbook'!AU7,Cities!$A:$B,2,FALSE)</f>
        <v>Chester</v>
      </c>
      <c r="I8" s="10" t="str">
        <f>VLOOKUP('Formula Workbook'!AV7,Cities!$A:$B,2,FALSE)</f>
        <v>Duquesne</v>
      </c>
      <c r="J8" s="10" t="str">
        <f>VLOOKUP('Formula Workbook'!AW7,Cities!$A:$B,2,FALSE)</f>
        <v>Easton</v>
      </c>
      <c r="K8" s="10" t="str">
        <f>VLOOKUP('Formula Workbook'!AX7,Cities!$A:$B,2,FALSE)</f>
        <v>Easton</v>
      </c>
      <c r="L8" s="10" t="str">
        <f>VLOOKUP('Formula Workbook'!AY7,Cities!$A:$B,2,FALSE)</f>
        <v>Washington</v>
      </c>
      <c r="M8" s="10" t="str">
        <f>VLOOKUP('Formula Workbook'!AZ7,Cities!$A:$B,2,FALSE)</f>
        <v>Wilkes-Barre</v>
      </c>
    </row>
    <row r="9" spans="1:13" ht="15.75" customHeight="1" x14ac:dyDescent="0.2">
      <c r="A9" s="9" t="s">
        <v>6</v>
      </c>
      <c r="B9" s="13"/>
      <c r="C9" s="9">
        <f t="shared" si="0"/>
        <v>0</v>
      </c>
      <c r="D9" s="10" t="str">
        <f>VLOOKUP('Formula Workbook'!AQ8,Cities!$A:$B,2,FALSE)</f>
        <v>Erie</v>
      </c>
      <c r="E9" s="10" t="str">
        <f>VLOOKUP('Formula Workbook'!AR8,Cities!$A:$B,2,FALSE)</f>
        <v>Harrisburg</v>
      </c>
      <c r="F9" s="10" t="str">
        <f>VLOOKUP('Formula Workbook'!AS8,Cities!$A:$B,2,FALSE)</f>
        <v>Reading</v>
      </c>
      <c r="G9" s="10" t="str">
        <f>VLOOKUP('Formula Workbook'!AT8,Cities!$A:$B,2,FALSE)</f>
        <v>Pittsburgh</v>
      </c>
      <c r="H9" s="10" t="str">
        <f>VLOOKUP('Formula Workbook'!AU8,Cities!$A:$B,2,FALSE)</f>
        <v>Butler</v>
      </c>
      <c r="I9" s="10" t="str">
        <f>VLOOKUP('Formula Workbook'!AV8,Cities!$A:$B,2,FALSE)</f>
        <v>Bethlehem</v>
      </c>
      <c r="J9" s="10" t="str">
        <f>VLOOKUP('Formula Workbook'!AW8,Cities!$A:$B,2,FALSE)</f>
        <v>Corry</v>
      </c>
      <c r="K9" s="10" t="str">
        <f>VLOOKUP('Formula Workbook'!AX8,Cities!$A:$B,2,FALSE)</f>
        <v>Washington</v>
      </c>
      <c r="L9" s="10" t="str">
        <f>VLOOKUP('Formula Workbook'!AY8,Cities!$A:$B,2,FALSE)</f>
        <v>Bradford</v>
      </c>
      <c r="M9" s="10" t="str">
        <f>VLOOKUP('Formula Workbook'!AZ8,Cities!$A:$B,2,FALSE)</f>
        <v>Butler</v>
      </c>
    </row>
    <row r="10" spans="1:13" ht="15.75" customHeight="1" x14ac:dyDescent="0.2">
      <c r="A10" s="9" t="s">
        <v>7</v>
      </c>
      <c r="B10" s="13"/>
      <c r="C10" s="9">
        <f t="shared" si="0"/>
        <v>0</v>
      </c>
      <c r="D10" s="10" t="str">
        <f>VLOOKUP('Formula Workbook'!AQ9,Cities!$A:$B,2,FALSE)</f>
        <v>Aliquippa</v>
      </c>
      <c r="E10" s="10" t="str">
        <f>VLOOKUP('Formula Workbook'!AR9,Cities!$A:$B,2,FALSE)</f>
        <v>Harrisburg</v>
      </c>
      <c r="F10" s="10" t="str">
        <f>VLOOKUP('Formula Workbook'!AS9,Cities!$A:$B,2,FALSE)</f>
        <v>Allentown</v>
      </c>
      <c r="G10" s="10" t="str">
        <f>VLOOKUP('Formula Workbook'!AT9,Cities!$A:$B,2,FALSE)</f>
        <v>Harrisburg</v>
      </c>
      <c r="H10" s="10" t="str">
        <f>VLOOKUP('Formula Workbook'!AU9,Cities!$A:$B,2,FALSE)</f>
        <v>Clairton</v>
      </c>
      <c r="I10" s="10" t="str">
        <f>VLOOKUP('Formula Workbook'!AV9,Cities!$A:$B,2,FALSE)</f>
        <v>Chester</v>
      </c>
      <c r="J10" s="10" t="str">
        <f>VLOOKUP('Formula Workbook'!AW9,Cities!$A:$B,2,FALSE)</f>
        <v>Franklin</v>
      </c>
      <c r="K10" s="10" t="str">
        <f>VLOOKUP('Formula Workbook'!AX9,Cities!$A:$B,2,FALSE)</f>
        <v>Hermitage</v>
      </c>
      <c r="L10" s="10" t="str">
        <f>VLOOKUP('Formula Workbook'!AY9,Cities!$A:$B,2,FALSE)</f>
        <v>Pittsburgh</v>
      </c>
      <c r="M10" s="10" t="str">
        <f>VLOOKUP('Formula Workbook'!AZ9,Cities!$A:$B,2,FALSE)</f>
        <v>Connellsville</v>
      </c>
    </row>
    <row r="11" spans="1:13" ht="15.75" customHeight="1" x14ac:dyDescent="0.2">
      <c r="A11" s="9" t="s">
        <v>8</v>
      </c>
      <c r="B11" s="13"/>
      <c r="C11" s="9">
        <f t="shared" si="0"/>
        <v>0</v>
      </c>
      <c r="D11" s="10" t="str">
        <f>VLOOKUP('Formula Workbook'!AQ10,Cities!$A:$B,2,FALSE)</f>
        <v>Hermitage</v>
      </c>
      <c r="E11" s="10" t="str">
        <f>VLOOKUP('Formula Workbook'!AR10,Cities!$A:$B,2,FALSE)</f>
        <v>Corry</v>
      </c>
      <c r="F11" s="10" t="str">
        <f>VLOOKUP('Formula Workbook'!AS10,Cities!$A:$B,2,FALSE)</f>
        <v>Harrisburg</v>
      </c>
      <c r="G11" s="10" t="str">
        <f>VLOOKUP('Formula Workbook'!AT10,Cities!$A:$B,2,FALSE)</f>
        <v>Beaver Falls</v>
      </c>
      <c r="H11" s="10" t="str">
        <f>VLOOKUP('Formula Workbook'!AU10,Cities!$A:$B,2,FALSE)</f>
        <v>Clairton</v>
      </c>
      <c r="I11" s="10" t="str">
        <f>VLOOKUP('Formula Workbook'!AV10,Cities!$A:$B,2,FALSE)</f>
        <v>Altoona</v>
      </c>
      <c r="J11" s="10" t="str">
        <f>VLOOKUP('Formula Workbook'!AW10,Cities!$A:$B,2,FALSE)</f>
        <v>Corry</v>
      </c>
      <c r="K11" s="10" t="str">
        <f>VLOOKUP('Formula Workbook'!AX10,Cities!$A:$B,2,FALSE)</f>
        <v>DuBois</v>
      </c>
      <c r="L11" s="10" t="str">
        <f>VLOOKUP('Formula Workbook'!AY10,Cities!$A:$B,2,FALSE)</f>
        <v>Washington</v>
      </c>
      <c r="M11" s="10" t="str">
        <f>VLOOKUP('Formula Workbook'!AZ10,Cities!$A:$B,2,FALSE)</f>
        <v>Clairton</v>
      </c>
    </row>
    <row r="12" spans="1:13" ht="15.75" customHeight="1" x14ac:dyDescent="0.2">
      <c r="A12" s="9" t="s">
        <v>9</v>
      </c>
      <c r="B12" s="13"/>
      <c r="C12" s="9">
        <f t="shared" si="0"/>
        <v>0</v>
      </c>
      <c r="D12" s="10" t="str">
        <f>VLOOKUP('Formula Workbook'!AQ11,Cities!$A:$B,2,FALSE)</f>
        <v>Allentown</v>
      </c>
      <c r="E12" s="10" t="str">
        <f>VLOOKUP('Formula Workbook'!AR11,Cities!$A:$B,2,FALSE)</f>
        <v>Bradford</v>
      </c>
      <c r="F12" s="10" t="str">
        <f>VLOOKUP('Formula Workbook'!AS11,Cities!$A:$B,2,FALSE)</f>
        <v>Franklin</v>
      </c>
      <c r="G12" s="10" t="str">
        <f>VLOOKUP('Formula Workbook'!AT11,Cities!$A:$B,2,FALSE)</f>
        <v>Erie</v>
      </c>
      <c r="H12" s="10" t="str">
        <f>VLOOKUP('Formula Workbook'!AU11,Cities!$A:$B,2,FALSE)</f>
        <v>Harrisburg</v>
      </c>
      <c r="I12" s="10" t="str">
        <f>VLOOKUP('Formula Workbook'!AV11,Cities!$A:$B,2,FALSE)</f>
        <v>Beaver Falls</v>
      </c>
      <c r="J12" s="10" t="str">
        <f>VLOOKUP('Formula Workbook'!AW11,Cities!$A:$B,2,FALSE)</f>
        <v>Bradford</v>
      </c>
      <c r="K12" s="10" t="str">
        <f>VLOOKUP('Formula Workbook'!AX11,Cities!$A:$B,2,FALSE)</f>
        <v>Altoona</v>
      </c>
      <c r="L12" s="10" t="str">
        <f>VLOOKUP('Formula Workbook'!AY11,Cities!$A:$B,2,FALSE)</f>
        <v>Reading</v>
      </c>
      <c r="M12" s="10" t="str">
        <f>VLOOKUP('Formula Workbook'!AZ11,Cities!$A:$B,2,FALSE)</f>
        <v>Connellsville</v>
      </c>
    </row>
    <row r="13" spans="1:13" ht="15.75" customHeight="1" x14ac:dyDescent="0.2">
      <c r="A13" s="9" t="s">
        <v>10</v>
      </c>
      <c r="B13" s="11" t="s">
        <v>241</v>
      </c>
      <c r="C13" s="9">
        <f t="shared" si="0"/>
        <v>2</v>
      </c>
      <c r="D13" s="10" t="str">
        <f>VLOOKUP('Formula Workbook'!AQ12,Cities!$A:$B,2,FALSE)</f>
        <v>Pittsburgh</v>
      </c>
      <c r="E13" s="10" t="str">
        <f>VLOOKUP('Formula Workbook'!AR12,Cities!$A:$B,2,FALSE)</f>
        <v>Aliquippa</v>
      </c>
      <c r="F13" s="10" t="str">
        <f>VLOOKUP('Formula Workbook'!AS12,Cities!$A:$B,2,FALSE)</f>
        <v>Connellsville</v>
      </c>
      <c r="G13" s="10" t="str">
        <f>VLOOKUP('Formula Workbook'!AT12,Cities!$A:$B,2,FALSE)</f>
        <v>Pittsburgh</v>
      </c>
      <c r="H13" s="10" t="str">
        <f>VLOOKUP('Formula Workbook'!AU12,Cities!$A:$B,2,FALSE)</f>
        <v>Pittsburgh</v>
      </c>
      <c r="I13" s="10" t="str">
        <f>VLOOKUP('Formula Workbook'!AV12,Cities!$A:$B,2,FALSE)</f>
        <v>Duquesne</v>
      </c>
      <c r="J13" s="10" t="str">
        <f>VLOOKUP('Formula Workbook'!AW12,Cities!$A:$B,2,FALSE)</f>
        <v>Wilkes-Barre</v>
      </c>
      <c r="K13" s="10" t="str">
        <f>VLOOKUP('Formula Workbook'!AX12,Cities!$A:$B,2,FALSE)</f>
        <v>Pittsburgh</v>
      </c>
      <c r="L13" s="10" t="str">
        <f>VLOOKUP('Formula Workbook'!AY12,Cities!$A:$B,2,FALSE)</f>
        <v>Duquesne</v>
      </c>
      <c r="M13" s="10" t="str">
        <f>VLOOKUP('Formula Workbook'!AZ12,Cities!$A:$B,2,FALSE)</f>
        <v>Wilkes-Barre</v>
      </c>
    </row>
    <row r="14" spans="1:13" ht="15.75" customHeight="1" x14ac:dyDescent="0.2">
      <c r="A14" s="9" t="s">
        <v>11</v>
      </c>
      <c r="B14" s="11" t="s">
        <v>241</v>
      </c>
      <c r="C14" s="9">
        <f t="shared" si="0"/>
        <v>1</v>
      </c>
      <c r="D14" s="10" t="str">
        <f>VLOOKUP('Formula Workbook'!AQ13,Cities!$A:$B,2,FALSE)</f>
        <v>Franklin</v>
      </c>
      <c r="E14" s="10" t="str">
        <f>VLOOKUP('Formula Workbook'!AR13,Cities!$A:$B,2,FALSE)</f>
        <v>Corry</v>
      </c>
      <c r="F14" s="10" t="str">
        <f>VLOOKUP('Formula Workbook'!AS13,Cities!$A:$B,2,FALSE)</f>
        <v>Washington</v>
      </c>
      <c r="G14" s="10" t="str">
        <f>VLOOKUP('Formula Workbook'!AT13,Cities!$A:$B,2,FALSE)</f>
        <v>Greensburg</v>
      </c>
      <c r="H14" s="10" t="str">
        <f>VLOOKUP('Formula Workbook'!AU13,Cities!$A:$B,2,FALSE)</f>
        <v>Aliquippa</v>
      </c>
      <c r="I14" s="10" t="str">
        <f>VLOOKUP('Formula Workbook'!AV13,Cities!$A:$B,2,FALSE)</f>
        <v>Jeannette</v>
      </c>
      <c r="J14" s="10" t="str">
        <f>VLOOKUP('Formula Workbook'!AW13,Cities!$A:$B,2,FALSE)</f>
        <v>Connellsville</v>
      </c>
      <c r="K14" s="10" t="str">
        <f>VLOOKUP('Formula Workbook'!AX13,Cities!$A:$B,2,FALSE)</f>
        <v>Duquesne</v>
      </c>
      <c r="L14" s="10" t="str">
        <f>VLOOKUP('Formula Workbook'!AY13,Cities!$A:$B,2,FALSE)</f>
        <v>Bradford</v>
      </c>
      <c r="M14" s="10" t="str">
        <f>VLOOKUP('Formula Workbook'!AZ13,Cities!$A:$B,2,FALSE)</f>
        <v>Philadelphia</v>
      </c>
    </row>
    <row r="15" spans="1:13" ht="15.75" customHeight="1" x14ac:dyDescent="0.2">
      <c r="A15" s="9" t="s">
        <v>12</v>
      </c>
      <c r="B15" s="11" t="s">
        <v>241</v>
      </c>
      <c r="C15" s="9">
        <f t="shared" si="0"/>
        <v>2</v>
      </c>
      <c r="D15" s="10" t="str">
        <f>VLOOKUP('Formula Workbook'!AQ14,Cities!$A:$B,2,FALSE)</f>
        <v>Wilkes-Barre</v>
      </c>
      <c r="E15" s="10" t="str">
        <f>VLOOKUP('Formula Workbook'!AR14,Cities!$A:$B,2,FALSE)</f>
        <v>Easton</v>
      </c>
      <c r="F15" s="10" t="str">
        <f>VLOOKUP('Formula Workbook'!AS14,Cities!$A:$B,2,FALSE)</f>
        <v>DuBois</v>
      </c>
      <c r="G15" s="10" t="str">
        <f>VLOOKUP('Formula Workbook'!AT14,Cities!$A:$B,2,FALSE)</f>
        <v>Bradford</v>
      </c>
      <c r="H15" s="10" t="str">
        <f>VLOOKUP('Formula Workbook'!AU14,Cities!$A:$B,2,FALSE)</f>
        <v>Jeannette</v>
      </c>
      <c r="I15" s="10" t="str">
        <f>VLOOKUP('Formula Workbook'!AV14,Cities!$A:$B,2,FALSE)</f>
        <v>Allentown</v>
      </c>
      <c r="J15" s="10" t="str">
        <f>VLOOKUP('Formula Workbook'!AW14,Cities!$A:$B,2,FALSE)</f>
        <v>Beaver Falls</v>
      </c>
      <c r="K15" s="10" t="str">
        <f>VLOOKUP('Formula Workbook'!AX14,Cities!$A:$B,2,FALSE)</f>
        <v>Duquesne</v>
      </c>
      <c r="L15" s="10" t="str">
        <f>VLOOKUP('Formula Workbook'!AY14,Cities!$A:$B,2,FALSE)</f>
        <v>Connellsville</v>
      </c>
      <c r="M15" s="10" t="str">
        <f>VLOOKUP('Formula Workbook'!AZ14,Cities!$A:$B,2,FALSE)</f>
        <v>Duquesne</v>
      </c>
    </row>
    <row r="16" spans="1:13" ht="15.75" customHeight="1" x14ac:dyDescent="0.2">
      <c r="A16" s="9" t="s">
        <v>13</v>
      </c>
      <c r="B16" s="13"/>
      <c r="C16" s="9">
        <f t="shared" si="0"/>
        <v>0</v>
      </c>
      <c r="D16" s="10" t="str">
        <f>VLOOKUP('Formula Workbook'!AQ15,Cities!$A:$B,2,FALSE)</f>
        <v>Philadelphia</v>
      </c>
      <c r="E16" s="10" t="str">
        <f>VLOOKUP('Formula Workbook'!AR15,Cities!$A:$B,2,FALSE)</f>
        <v>DuBois</v>
      </c>
      <c r="F16" s="10" t="str">
        <f>VLOOKUP('Formula Workbook'!AS15,Cities!$A:$B,2,FALSE)</f>
        <v>Hermitage</v>
      </c>
      <c r="G16" s="10" t="str">
        <f>VLOOKUP('Formula Workbook'!AT15,Cities!$A:$B,2,FALSE)</f>
        <v>Bethlehem</v>
      </c>
      <c r="H16" s="10" t="str">
        <f>VLOOKUP('Formula Workbook'!AU15,Cities!$A:$B,2,FALSE)</f>
        <v>Reading</v>
      </c>
      <c r="I16" s="10" t="str">
        <f>VLOOKUP('Formula Workbook'!AV15,Cities!$A:$B,2,FALSE)</f>
        <v>Chester</v>
      </c>
      <c r="J16" s="10" t="str">
        <f>VLOOKUP('Formula Workbook'!AW15,Cities!$A:$B,2,FALSE)</f>
        <v>Altoona</v>
      </c>
      <c r="K16" s="10" t="str">
        <f>VLOOKUP('Formula Workbook'!AX15,Cities!$A:$B,2,FALSE)</f>
        <v>Easton</v>
      </c>
      <c r="L16" s="10" t="str">
        <f>VLOOKUP('Formula Workbook'!AY15,Cities!$A:$B,2,FALSE)</f>
        <v>Butler</v>
      </c>
      <c r="M16" s="10" t="str">
        <f>VLOOKUP('Formula Workbook'!AZ15,Cities!$A:$B,2,FALSE)</f>
        <v>Chester</v>
      </c>
    </row>
    <row r="17" spans="1:13" ht="15.75" customHeight="1" x14ac:dyDescent="0.2">
      <c r="A17" s="9" t="s">
        <v>14</v>
      </c>
      <c r="B17" s="13"/>
      <c r="C17" s="9">
        <f t="shared" si="0"/>
        <v>0</v>
      </c>
      <c r="D17" s="10" t="str">
        <f>VLOOKUP('Formula Workbook'!AQ16,Cities!$A:$B,2,FALSE)</f>
        <v>Wilkes-Barre</v>
      </c>
      <c r="E17" s="10" t="str">
        <f>VLOOKUP('Formula Workbook'!AR16,Cities!$A:$B,2,FALSE)</f>
        <v>Greensburg</v>
      </c>
      <c r="F17" s="10" t="str">
        <f>VLOOKUP('Formula Workbook'!AS16,Cities!$A:$B,2,FALSE)</f>
        <v>Allentown</v>
      </c>
      <c r="G17" s="10" t="str">
        <f>VLOOKUP('Formula Workbook'!AT16,Cities!$A:$B,2,FALSE)</f>
        <v>Aliquippa</v>
      </c>
      <c r="H17" s="10" t="str">
        <f>VLOOKUP('Formula Workbook'!AU16,Cities!$A:$B,2,FALSE)</f>
        <v>Aliquippa</v>
      </c>
      <c r="I17" s="10" t="str">
        <f>VLOOKUP('Formula Workbook'!AV16,Cities!$A:$B,2,FALSE)</f>
        <v>Bethlehem</v>
      </c>
      <c r="J17" s="10" t="str">
        <f>VLOOKUP('Formula Workbook'!AW16,Cities!$A:$B,2,FALSE)</f>
        <v>Jeannette</v>
      </c>
      <c r="K17" s="10" t="str">
        <f>VLOOKUP('Formula Workbook'!AX16,Cities!$A:$B,2,FALSE)</f>
        <v>Allentown</v>
      </c>
      <c r="L17" s="10" t="str">
        <f>VLOOKUP('Formula Workbook'!AY16,Cities!$A:$B,2,FALSE)</f>
        <v>Wilkes-Barre</v>
      </c>
      <c r="M17" s="10" t="str">
        <f>VLOOKUP('Formula Workbook'!AZ16,Cities!$A:$B,2,FALSE)</f>
        <v>Connellsville</v>
      </c>
    </row>
    <row r="18" spans="1:13" ht="15.75" customHeight="1" x14ac:dyDescent="0.2">
      <c r="A18" s="9" t="s">
        <v>15</v>
      </c>
      <c r="B18" s="11" t="s">
        <v>241</v>
      </c>
      <c r="C18" s="9">
        <f t="shared" si="0"/>
        <v>1</v>
      </c>
      <c r="D18" s="10" t="str">
        <f>VLOOKUP('Formula Workbook'!AQ17,Cities!$A:$B,2,FALSE)</f>
        <v>Easton</v>
      </c>
      <c r="E18" s="10" t="str">
        <f>VLOOKUP('Formula Workbook'!AR17,Cities!$A:$B,2,FALSE)</f>
        <v>Clairton</v>
      </c>
      <c r="F18" s="10" t="str">
        <f>VLOOKUP('Formula Workbook'!AS17,Cities!$A:$B,2,FALSE)</f>
        <v>Duquesne</v>
      </c>
      <c r="G18" s="10" t="str">
        <f>VLOOKUP('Formula Workbook'!AT17,Cities!$A:$B,2,FALSE)</f>
        <v>Greensburg</v>
      </c>
      <c r="H18" s="10" t="str">
        <f>VLOOKUP('Formula Workbook'!AU17,Cities!$A:$B,2,FALSE)</f>
        <v>Harrisburg</v>
      </c>
      <c r="I18" s="10" t="str">
        <f>VLOOKUP('Formula Workbook'!AV17,Cities!$A:$B,2,FALSE)</f>
        <v>Allentown</v>
      </c>
      <c r="J18" s="10" t="str">
        <f>VLOOKUP('Formula Workbook'!AW17,Cities!$A:$B,2,FALSE)</f>
        <v>Connellsville</v>
      </c>
      <c r="K18" s="10" t="str">
        <f>VLOOKUP('Formula Workbook'!AX17,Cities!$A:$B,2,FALSE)</f>
        <v>Clairton</v>
      </c>
      <c r="L18" s="10" t="str">
        <f>VLOOKUP('Formula Workbook'!AY17,Cities!$A:$B,2,FALSE)</f>
        <v>Bradford</v>
      </c>
      <c r="M18" s="10" t="str">
        <f>VLOOKUP('Formula Workbook'!AZ17,Cities!$A:$B,2,FALSE)</f>
        <v>Philadelphia</v>
      </c>
    </row>
    <row r="19" spans="1:13" ht="15.75" customHeight="1" x14ac:dyDescent="0.2">
      <c r="A19" s="9" t="s">
        <v>16</v>
      </c>
      <c r="B19" s="11" t="s">
        <v>241</v>
      </c>
      <c r="C19" s="9">
        <f t="shared" si="0"/>
        <v>1</v>
      </c>
      <c r="D19" s="10" t="str">
        <f>VLOOKUP('Formula Workbook'!AQ18,Cities!$A:$B,2,FALSE)</f>
        <v>Reading</v>
      </c>
      <c r="E19" s="10" t="str">
        <f>VLOOKUP('Formula Workbook'!AR18,Cities!$A:$B,2,FALSE)</f>
        <v>Butler</v>
      </c>
      <c r="F19" s="10" t="str">
        <f>VLOOKUP('Formula Workbook'!AS18,Cities!$A:$B,2,FALSE)</f>
        <v>Reading</v>
      </c>
      <c r="G19" s="10" t="str">
        <f>VLOOKUP('Formula Workbook'!AT18,Cities!$A:$B,2,FALSE)</f>
        <v>Clairton</v>
      </c>
      <c r="H19" s="10" t="str">
        <f>VLOOKUP('Formula Workbook'!AU18,Cities!$A:$B,2,FALSE)</f>
        <v>Philadelphia</v>
      </c>
      <c r="I19" s="10" t="str">
        <f>VLOOKUP('Formula Workbook'!AV18,Cities!$A:$B,2,FALSE)</f>
        <v>Corry</v>
      </c>
      <c r="J19" s="10" t="str">
        <f>VLOOKUP('Formula Workbook'!AW18,Cities!$A:$B,2,FALSE)</f>
        <v>Duquesne</v>
      </c>
      <c r="K19" s="10" t="str">
        <f>VLOOKUP('Formula Workbook'!AX18,Cities!$A:$B,2,FALSE)</f>
        <v>Corry</v>
      </c>
      <c r="L19" s="10" t="str">
        <f>VLOOKUP('Formula Workbook'!AY18,Cities!$A:$B,2,FALSE)</f>
        <v>Altoona</v>
      </c>
      <c r="M19" s="10" t="str">
        <f>VLOOKUP('Formula Workbook'!AZ18,Cities!$A:$B,2,FALSE)</f>
        <v>Easton</v>
      </c>
    </row>
    <row r="20" spans="1:13" ht="15.75" customHeight="1" x14ac:dyDescent="0.2">
      <c r="A20" s="9" t="s">
        <v>17</v>
      </c>
      <c r="B20" s="11" t="s">
        <v>241</v>
      </c>
      <c r="C20" s="9">
        <f t="shared" si="0"/>
        <v>1</v>
      </c>
      <c r="D20" s="10" t="str">
        <f>VLOOKUP('Formula Workbook'!AQ19,Cities!$A:$B,2,FALSE)</f>
        <v>Easton</v>
      </c>
      <c r="E20" s="10" t="str">
        <f>VLOOKUP('Formula Workbook'!AR19,Cities!$A:$B,2,FALSE)</f>
        <v>Chester</v>
      </c>
      <c r="F20" s="10" t="str">
        <f>VLOOKUP('Formula Workbook'!AS19,Cities!$A:$B,2,FALSE)</f>
        <v>Franklin</v>
      </c>
      <c r="G20" s="10" t="str">
        <f>VLOOKUP('Formula Workbook'!AT19,Cities!$A:$B,2,FALSE)</f>
        <v>Erie</v>
      </c>
      <c r="H20" s="10" t="str">
        <f>VLOOKUP('Formula Workbook'!AU19,Cities!$A:$B,2,FALSE)</f>
        <v>Franklin</v>
      </c>
      <c r="I20" s="10" t="str">
        <f>VLOOKUP('Formula Workbook'!AV19,Cities!$A:$B,2,FALSE)</f>
        <v>Beaver Falls</v>
      </c>
      <c r="J20" s="10" t="str">
        <f>VLOOKUP('Formula Workbook'!AW19,Cities!$A:$B,2,FALSE)</f>
        <v>Philadelphia</v>
      </c>
      <c r="K20" s="10" t="str">
        <f>VLOOKUP('Formula Workbook'!AX19,Cities!$A:$B,2,FALSE)</f>
        <v>Beaver Falls</v>
      </c>
      <c r="L20" s="10" t="str">
        <f>VLOOKUP('Formula Workbook'!AY19,Cities!$A:$B,2,FALSE)</f>
        <v>Butler</v>
      </c>
      <c r="M20" s="10" t="str">
        <f>VLOOKUP('Formula Workbook'!AZ19,Cities!$A:$B,2,FALSE)</f>
        <v>Duquesne</v>
      </c>
    </row>
    <row r="21" spans="1:13" ht="15.75" customHeight="1" x14ac:dyDescent="0.2">
      <c r="A21" s="9" t="s">
        <v>18</v>
      </c>
      <c r="B21" s="13"/>
      <c r="C21" s="9">
        <f t="shared" si="0"/>
        <v>0</v>
      </c>
      <c r="D21" s="10" t="str">
        <f>VLOOKUP('Formula Workbook'!AQ20,Cities!$A:$B,2,FALSE)</f>
        <v>Chester</v>
      </c>
      <c r="E21" s="10" t="str">
        <f>VLOOKUP('Formula Workbook'!AR20,Cities!$A:$B,2,FALSE)</f>
        <v>Wilkes-Barre</v>
      </c>
      <c r="F21" s="10" t="str">
        <f>VLOOKUP('Formula Workbook'!AS20,Cities!$A:$B,2,FALSE)</f>
        <v>DuBois</v>
      </c>
      <c r="G21" s="10" t="str">
        <f>VLOOKUP('Formula Workbook'!AT20,Cities!$A:$B,2,FALSE)</f>
        <v>Easton</v>
      </c>
      <c r="H21" s="10" t="str">
        <f>VLOOKUP('Formula Workbook'!AU20,Cities!$A:$B,2,FALSE)</f>
        <v>Connellsville</v>
      </c>
      <c r="I21" s="10" t="str">
        <f>VLOOKUP('Formula Workbook'!AV20,Cities!$A:$B,2,FALSE)</f>
        <v>Altoona</v>
      </c>
      <c r="J21" s="10" t="str">
        <f>VLOOKUP('Formula Workbook'!AW20,Cities!$A:$B,2,FALSE)</f>
        <v>Pittsburgh</v>
      </c>
      <c r="K21" s="10" t="str">
        <f>VLOOKUP('Formula Workbook'!AX20,Cities!$A:$B,2,FALSE)</f>
        <v>Bradford</v>
      </c>
      <c r="L21" s="10" t="str">
        <f>VLOOKUP('Formula Workbook'!AY20,Cities!$A:$B,2,FALSE)</f>
        <v>Hazleton</v>
      </c>
      <c r="M21" s="10" t="str">
        <f>VLOOKUP('Formula Workbook'!AZ20,Cities!$A:$B,2,FALSE)</f>
        <v>Franklin</v>
      </c>
    </row>
    <row r="22" spans="1:13" ht="15.75" customHeight="1" x14ac:dyDescent="0.2">
      <c r="A22" s="9" t="s">
        <v>19</v>
      </c>
      <c r="B22" s="13"/>
      <c r="C22" s="9">
        <f t="shared" si="0"/>
        <v>0</v>
      </c>
      <c r="D22" s="10" t="str">
        <f>VLOOKUP('Formula Workbook'!AQ21,Cities!$A:$B,2,FALSE)</f>
        <v>Washington</v>
      </c>
      <c r="E22" s="10" t="str">
        <f>VLOOKUP('Formula Workbook'!AR21,Cities!$A:$B,2,FALSE)</f>
        <v>Altoona</v>
      </c>
      <c r="F22" s="10" t="str">
        <f>VLOOKUP('Formula Workbook'!AS21,Cities!$A:$B,2,FALSE)</f>
        <v>Franklin</v>
      </c>
      <c r="G22" s="10" t="str">
        <f>VLOOKUP('Formula Workbook'!AT21,Cities!$A:$B,2,FALSE)</f>
        <v>Reading</v>
      </c>
      <c r="H22" s="10" t="str">
        <f>VLOOKUP('Formula Workbook'!AU21,Cities!$A:$B,2,FALSE)</f>
        <v>Chester</v>
      </c>
      <c r="I22" s="10" t="str">
        <f>VLOOKUP('Formula Workbook'!AV21,Cities!$A:$B,2,FALSE)</f>
        <v>Clairton</v>
      </c>
      <c r="J22" s="10" t="str">
        <f>VLOOKUP('Formula Workbook'!AW21,Cities!$A:$B,2,FALSE)</f>
        <v>Allentown</v>
      </c>
      <c r="K22" s="10" t="str">
        <f>VLOOKUP('Formula Workbook'!AX21,Cities!$A:$B,2,FALSE)</f>
        <v>Altoona</v>
      </c>
      <c r="L22" s="10" t="str">
        <f>VLOOKUP('Formula Workbook'!AY21,Cities!$A:$B,2,FALSE)</f>
        <v>Clairton</v>
      </c>
      <c r="M22" s="10" t="str">
        <f>VLOOKUP('Formula Workbook'!AZ21,Cities!$A:$B,2,FALSE)</f>
        <v>Allentown</v>
      </c>
    </row>
    <row r="23" spans="1:13" ht="15.75" customHeight="1" x14ac:dyDescent="0.2">
      <c r="A23" s="9" t="s">
        <v>20</v>
      </c>
      <c r="B23" s="13"/>
      <c r="C23" s="9">
        <f t="shared" si="0"/>
        <v>0</v>
      </c>
      <c r="D23" s="10" t="str">
        <f>VLOOKUP('Formula Workbook'!AQ22,Cities!$A:$B,2,FALSE)</f>
        <v>Wilkes-Barre</v>
      </c>
      <c r="E23" s="10" t="str">
        <f>VLOOKUP('Formula Workbook'!AR22,Cities!$A:$B,2,FALSE)</f>
        <v>Beaver Falls</v>
      </c>
      <c r="F23" s="10" t="str">
        <f>VLOOKUP('Formula Workbook'!AS22,Cities!$A:$B,2,FALSE)</f>
        <v>Chester</v>
      </c>
      <c r="G23" s="10" t="str">
        <f>VLOOKUP('Formula Workbook'!AT22,Cities!$A:$B,2,FALSE)</f>
        <v>Bethlehem</v>
      </c>
      <c r="H23" s="10" t="str">
        <f>VLOOKUP('Formula Workbook'!AU22,Cities!$A:$B,2,FALSE)</f>
        <v>Corry</v>
      </c>
      <c r="I23" s="10" t="str">
        <f>VLOOKUP('Formula Workbook'!AV22,Cities!$A:$B,2,FALSE)</f>
        <v>Easton</v>
      </c>
      <c r="J23" s="10" t="str">
        <f>VLOOKUP('Formula Workbook'!AW22,Cities!$A:$B,2,FALSE)</f>
        <v>Butler</v>
      </c>
      <c r="K23" s="10" t="str">
        <f>VLOOKUP('Formula Workbook'!AX22,Cities!$A:$B,2,FALSE)</f>
        <v>Corry</v>
      </c>
      <c r="L23" s="10" t="str">
        <f>VLOOKUP('Formula Workbook'!AY22,Cities!$A:$B,2,FALSE)</f>
        <v>Wilkes-Barre</v>
      </c>
      <c r="M23" s="10" t="str">
        <f>VLOOKUP('Formula Workbook'!AZ22,Cities!$A:$B,2,FALSE)</f>
        <v>Chester</v>
      </c>
    </row>
    <row r="24" spans="1:13" ht="15.75" customHeight="1" x14ac:dyDescent="0.2">
      <c r="A24" s="9" t="s">
        <v>21</v>
      </c>
      <c r="B24" s="11" t="s">
        <v>241</v>
      </c>
      <c r="C24" s="9">
        <f t="shared" si="0"/>
        <v>2</v>
      </c>
      <c r="D24" s="10" t="str">
        <f>VLOOKUP('Formula Workbook'!AQ23,Cities!$A:$B,2,FALSE)</f>
        <v>Reading</v>
      </c>
      <c r="E24" s="10" t="str">
        <f>VLOOKUP('Formula Workbook'!AR23,Cities!$A:$B,2,FALSE)</f>
        <v>Duquesne</v>
      </c>
      <c r="F24" s="10" t="str">
        <f>VLOOKUP('Formula Workbook'!AS23,Cities!$A:$B,2,FALSE)</f>
        <v>Beaver Falls</v>
      </c>
      <c r="G24" s="10" t="str">
        <f>VLOOKUP('Formula Workbook'!AT23,Cities!$A:$B,2,FALSE)</f>
        <v>Greensburg</v>
      </c>
      <c r="H24" s="10" t="str">
        <f>VLOOKUP('Formula Workbook'!AU23,Cities!$A:$B,2,FALSE)</f>
        <v>Duquesne</v>
      </c>
      <c r="I24" s="10" t="str">
        <f>VLOOKUP('Formula Workbook'!AV23,Cities!$A:$B,2,FALSE)</f>
        <v>Connellsville</v>
      </c>
      <c r="J24" s="10" t="str">
        <f>VLOOKUP('Formula Workbook'!AW23,Cities!$A:$B,2,FALSE)</f>
        <v>Greensburg</v>
      </c>
      <c r="K24" s="10" t="str">
        <f>VLOOKUP('Formula Workbook'!AX23,Cities!$A:$B,2,FALSE)</f>
        <v>Philadelphia</v>
      </c>
      <c r="L24" s="10" t="str">
        <f>VLOOKUP('Formula Workbook'!AY23,Cities!$A:$B,2,FALSE)</f>
        <v>Bradford</v>
      </c>
      <c r="M24" s="10" t="str">
        <f>VLOOKUP('Formula Workbook'!AZ23,Cities!$A:$B,2,FALSE)</f>
        <v>Pittsburgh</v>
      </c>
    </row>
    <row r="25" spans="1:13" ht="15.75" customHeight="1" x14ac:dyDescent="0.2">
      <c r="A25" s="9" t="s">
        <v>22</v>
      </c>
      <c r="B25" s="11" t="s">
        <v>241</v>
      </c>
      <c r="C25" s="9">
        <f t="shared" si="0"/>
        <v>1</v>
      </c>
      <c r="D25" s="10" t="str">
        <f>VLOOKUP('Formula Workbook'!AQ24,Cities!$A:$B,2,FALSE)</f>
        <v>Duquesne</v>
      </c>
      <c r="E25" s="10" t="str">
        <f>VLOOKUP('Formula Workbook'!AR24,Cities!$A:$B,2,FALSE)</f>
        <v>Pittsburgh</v>
      </c>
      <c r="F25" s="10" t="str">
        <f>VLOOKUP('Formula Workbook'!AS24,Cities!$A:$B,2,FALSE)</f>
        <v>Butler</v>
      </c>
      <c r="G25" s="10" t="str">
        <f>VLOOKUP('Formula Workbook'!AT24,Cities!$A:$B,2,FALSE)</f>
        <v>Bradford</v>
      </c>
      <c r="H25" s="10" t="str">
        <f>VLOOKUP('Formula Workbook'!AU24,Cities!$A:$B,2,FALSE)</f>
        <v>Corry</v>
      </c>
      <c r="I25" s="10" t="str">
        <f>VLOOKUP('Formula Workbook'!AV24,Cities!$A:$B,2,FALSE)</f>
        <v>Chester</v>
      </c>
      <c r="J25" s="10" t="str">
        <f>VLOOKUP('Formula Workbook'!AW24,Cities!$A:$B,2,FALSE)</f>
        <v>Bethlehem</v>
      </c>
      <c r="K25" s="10" t="str">
        <f>VLOOKUP('Formula Workbook'!AX24,Cities!$A:$B,2,FALSE)</f>
        <v>Butler</v>
      </c>
      <c r="L25" s="10" t="str">
        <f>VLOOKUP('Formula Workbook'!AY24,Cities!$A:$B,2,FALSE)</f>
        <v>Clairton</v>
      </c>
      <c r="M25" s="10" t="str">
        <f>VLOOKUP('Formula Workbook'!AZ24,Cities!$A:$B,2,FALSE)</f>
        <v>Harrisburg</v>
      </c>
    </row>
    <row r="26" spans="1:13" ht="15.75" customHeight="1" x14ac:dyDescent="0.2">
      <c r="A26" s="9" t="s">
        <v>23</v>
      </c>
      <c r="B26" s="11" t="s">
        <v>241</v>
      </c>
      <c r="C26" s="9">
        <f t="shared" si="0"/>
        <v>1</v>
      </c>
      <c r="D26" s="10" t="str">
        <f>VLOOKUP('Formula Workbook'!AQ25,Cities!$A:$B,2,FALSE)</f>
        <v>Duquesne</v>
      </c>
      <c r="E26" s="10" t="str">
        <f>VLOOKUP('Formula Workbook'!AR25,Cities!$A:$B,2,FALSE)</f>
        <v>Chester</v>
      </c>
      <c r="F26" s="10" t="str">
        <f>VLOOKUP('Formula Workbook'!AS25,Cities!$A:$B,2,FALSE)</f>
        <v>Bradford</v>
      </c>
      <c r="G26" s="10" t="str">
        <f>VLOOKUP('Formula Workbook'!AT25,Cities!$A:$B,2,FALSE)</f>
        <v>Connellsville</v>
      </c>
      <c r="H26" s="10" t="str">
        <f>VLOOKUP('Formula Workbook'!AU25,Cities!$A:$B,2,FALSE)</f>
        <v>Erie</v>
      </c>
      <c r="I26" s="10" t="str">
        <f>VLOOKUP('Formula Workbook'!AV25,Cities!$A:$B,2,FALSE)</f>
        <v>Easton</v>
      </c>
      <c r="J26" s="10" t="str">
        <f>VLOOKUP('Formula Workbook'!AW25,Cities!$A:$B,2,FALSE)</f>
        <v>Aliquippa</v>
      </c>
      <c r="K26" s="10" t="str">
        <f>VLOOKUP('Formula Workbook'!AX25,Cities!$A:$B,2,FALSE)</f>
        <v>Corry</v>
      </c>
      <c r="L26" s="10" t="str">
        <f>VLOOKUP('Formula Workbook'!AY25,Cities!$A:$B,2,FALSE)</f>
        <v>Erie</v>
      </c>
      <c r="M26" s="10" t="str">
        <f>VLOOKUP('Formula Workbook'!AZ25,Cities!$A:$B,2,FALSE)</f>
        <v>Corry</v>
      </c>
    </row>
    <row r="27" spans="1:13" ht="15.75" customHeight="1" x14ac:dyDescent="0.2">
      <c r="A27" s="9" t="s">
        <v>24</v>
      </c>
      <c r="B27" s="11" t="s">
        <v>241</v>
      </c>
      <c r="C27" s="9">
        <f t="shared" si="0"/>
        <v>1</v>
      </c>
      <c r="D27" s="10" t="str">
        <f>VLOOKUP('Formula Workbook'!AQ26,Cities!$A:$B,2,FALSE)</f>
        <v>Harrisburg</v>
      </c>
      <c r="E27" s="10" t="str">
        <f>VLOOKUP('Formula Workbook'!AR26,Cities!$A:$B,2,FALSE)</f>
        <v>Allentown</v>
      </c>
      <c r="F27" s="10" t="str">
        <f>VLOOKUP('Formula Workbook'!AS26,Cities!$A:$B,2,FALSE)</f>
        <v>Easton</v>
      </c>
      <c r="G27" s="10" t="str">
        <f>VLOOKUP('Formula Workbook'!AT26,Cities!$A:$B,2,FALSE)</f>
        <v>Duquesne</v>
      </c>
      <c r="H27" s="10" t="str">
        <f>VLOOKUP('Formula Workbook'!AU26,Cities!$A:$B,2,FALSE)</f>
        <v>Harrisburg</v>
      </c>
      <c r="I27" s="10" t="str">
        <f>VLOOKUP('Formula Workbook'!AV26,Cities!$A:$B,2,FALSE)</f>
        <v>Butler</v>
      </c>
      <c r="J27" s="10" t="str">
        <f>VLOOKUP('Formula Workbook'!AW26,Cities!$A:$B,2,FALSE)</f>
        <v>Wilkes-Barre</v>
      </c>
      <c r="K27" s="10" t="str">
        <f>VLOOKUP('Formula Workbook'!AX26,Cities!$A:$B,2,FALSE)</f>
        <v>Hermitage</v>
      </c>
      <c r="L27" s="10" t="str">
        <f>VLOOKUP('Formula Workbook'!AY26,Cities!$A:$B,2,FALSE)</f>
        <v>Greensburg</v>
      </c>
      <c r="M27" s="10" t="str">
        <f>VLOOKUP('Formula Workbook'!AZ26,Cities!$A:$B,2,FALSE)</f>
        <v>Washington</v>
      </c>
    </row>
    <row r="28" spans="1:13" ht="15.75" customHeight="1" x14ac:dyDescent="0.2">
      <c r="A28" s="9" t="s">
        <v>25</v>
      </c>
      <c r="B28" s="13"/>
      <c r="C28" s="9">
        <f t="shared" si="0"/>
        <v>0</v>
      </c>
      <c r="D28" s="10" t="str">
        <f>VLOOKUP('Formula Workbook'!AQ27,Cities!$A:$B,2,FALSE)</f>
        <v>Butler</v>
      </c>
      <c r="E28" s="10" t="str">
        <f>VLOOKUP('Formula Workbook'!AR27,Cities!$A:$B,2,FALSE)</f>
        <v>DuBois</v>
      </c>
      <c r="F28" s="10" t="str">
        <f>VLOOKUP('Formula Workbook'!AS27,Cities!$A:$B,2,FALSE)</f>
        <v>Chester</v>
      </c>
      <c r="G28" s="10" t="str">
        <f>VLOOKUP('Formula Workbook'!AT27,Cities!$A:$B,2,FALSE)</f>
        <v>Franklin</v>
      </c>
      <c r="H28" s="10" t="str">
        <f>VLOOKUP('Formula Workbook'!AU27,Cities!$A:$B,2,FALSE)</f>
        <v>Reading</v>
      </c>
      <c r="I28" s="10" t="str">
        <f>VLOOKUP('Formula Workbook'!AV27,Cities!$A:$B,2,FALSE)</f>
        <v>Connellsville</v>
      </c>
      <c r="J28" s="10" t="str">
        <f>VLOOKUP('Formula Workbook'!AW27,Cities!$A:$B,2,FALSE)</f>
        <v>Philadelphia</v>
      </c>
      <c r="K28" s="10" t="str">
        <f>VLOOKUP('Formula Workbook'!AX27,Cities!$A:$B,2,FALSE)</f>
        <v>Corry</v>
      </c>
      <c r="L28" s="10" t="str">
        <f>VLOOKUP('Formula Workbook'!AY27,Cities!$A:$B,2,FALSE)</f>
        <v>Clairton</v>
      </c>
      <c r="M28" s="10" t="str">
        <f>VLOOKUP('Formula Workbook'!AZ27,Cities!$A:$B,2,FALSE)</f>
        <v>Bradford</v>
      </c>
    </row>
  </sheetData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8"/>
  <sheetViews>
    <sheetView topLeftCell="A40" workbookViewId="0">
      <selection activeCell="B1" sqref="B1:B1048576"/>
    </sheetView>
  </sheetViews>
  <sheetFormatPr defaultRowHeight="15" x14ac:dyDescent="0.25"/>
  <cols>
    <col min="2" max="2" width="20.28515625" customWidth="1"/>
    <col min="3" max="3" width="18.7109375" customWidth="1"/>
    <col min="4" max="4" width="11.7109375" customWidth="1"/>
    <col min="5" max="5" width="10.85546875" customWidth="1"/>
    <col min="6" max="6" width="16.140625" customWidth="1"/>
    <col min="7" max="7" width="13.42578125" customWidth="1"/>
  </cols>
  <sheetData>
    <row r="1" spans="1:7" ht="15.75" thickBot="1" x14ac:dyDescent="0.3">
      <c r="A1">
        <v>1</v>
      </c>
      <c r="B1" s="3" t="s">
        <v>53</v>
      </c>
      <c r="C1" s="3" t="s">
        <v>54</v>
      </c>
      <c r="D1" s="4" t="s">
        <v>55</v>
      </c>
      <c r="E1" s="5">
        <v>9438</v>
      </c>
      <c r="F1" s="4">
        <v>1987</v>
      </c>
      <c r="G1" s="4" t="s">
        <v>56</v>
      </c>
    </row>
    <row r="2" spans="1:7" ht="15.75" thickBot="1" x14ac:dyDescent="0.3">
      <c r="A2">
        <v>2</v>
      </c>
      <c r="B2" s="3" t="s">
        <v>57</v>
      </c>
      <c r="C2" s="3" t="s">
        <v>58</v>
      </c>
      <c r="D2" s="4" t="s">
        <v>55</v>
      </c>
      <c r="E2" s="5">
        <v>118032</v>
      </c>
      <c r="F2" s="4">
        <v>1867</v>
      </c>
      <c r="G2" s="4" t="s">
        <v>59</v>
      </c>
    </row>
    <row r="3" spans="1:7" ht="15.75" thickBot="1" x14ac:dyDescent="0.3">
      <c r="A3">
        <v>3</v>
      </c>
      <c r="B3" s="3" t="s">
        <v>60</v>
      </c>
      <c r="C3" s="3" t="s">
        <v>61</v>
      </c>
      <c r="D3" s="4" t="s">
        <v>55</v>
      </c>
      <c r="E3" s="5">
        <v>46320</v>
      </c>
      <c r="F3" s="4">
        <v>1868</v>
      </c>
      <c r="G3" s="4" t="s">
        <v>62</v>
      </c>
    </row>
    <row r="4" spans="1:7" ht="15.75" thickBot="1" x14ac:dyDescent="0.3">
      <c r="B4" s="3" t="s">
        <v>63</v>
      </c>
      <c r="C4" s="3" t="s">
        <v>64</v>
      </c>
      <c r="D4" s="4" t="s">
        <v>55</v>
      </c>
      <c r="E4" s="5">
        <v>5157</v>
      </c>
      <c r="F4" s="4">
        <v>1939</v>
      </c>
      <c r="G4" s="4" t="s">
        <v>56</v>
      </c>
    </row>
    <row r="5" spans="1:7" ht="15.75" thickBot="1" x14ac:dyDescent="0.3">
      <c r="A5">
        <v>5</v>
      </c>
      <c r="B5" s="3" t="s">
        <v>65</v>
      </c>
      <c r="C5" s="3" t="s">
        <v>54</v>
      </c>
      <c r="D5" s="4" t="s">
        <v>55</v>
      </c>
      <c r="E5" s="5">
        <v>8987</v>
      </c>
      <c r="F5" s="4">
        <v>1928</v>
      </c>
      <c r="G5" s="4" t="s">
        <v>56</v>
      </c>
    </row>
    <row r="6" spans="1:7" x14ac:dyDescent="0.25">
      <c r="A6">
        <v>6</v>
      </c>
      <c r="B6" s="15" t="s">
        <v>66</v>
      </c>
      <c r="C6" s="6" t="s">
        <v>58</v>
      </c>
      <c r="D6" s="17" t="s">
        <v>55</v>
      </c>
      <c r="E6" s="19">
        <v>74982</v>
      </c>
      <c r="F6" s="17">
        <v>1917</v>
      </c>
      <c r="G6" s="17" t="s">
        <v>68</v>
      </c>
    </row>
    <row r="7" spans="1:7" ht="15.75" thickBot="1" x14ac:dyDescent="0.3">
      <c r="B7" s="16"/>
      <c r="C7" s="7" t="s">
        <v>67</v>
      </c>
      <c r="D7" s="18"/>
      <c r="E7" s="20"/>
      <c r="F7" s="18"/>
      <c r="G7" s="18"/>
    </row>
    <row r="8" spans="1:7" ht="15.75" thickBot="1" x14ac:dyDescent="0.3">
      <c r="A8">
        <v>8</v>
      </c>
      <c r="B8" s="3" t="s">
        <v>69</v>
      </c>
      <c r="C8" s="3" t="s">
        <v>70</v>
      </c>
      <c r="D8" s="4" t="s">
        <v>55</v>
      </c>
      <c r="E8" s="5">
        <v>8770</v>
      </c>
      <c r="F8" s="4">
        <v>1879</v>
      </c>
      <c r="G8" s="4" t="s">
        <v>56</v>
      </c>
    </row>
    <row r="9" spans="1:7" ht="15.75" thickBot="1" x14ac:dyDescent="0.3">
      <c r="A9">
        <v>9</v>
      </c>
      <c r="B9" s="3" t="s">
        <v>71</v>
      </c>
      <c r="C9" s="3" t="s">
        <v>71</v>
      </c>
      <c r="D9" s="4" t="s">
        <v>55</v>
      </c>
      <c r="E9" s="5">
        <v>13757</v>
      </c>
      <c r="F9" s="4">
        <v>1918</v>
      </c>
      <c r="G9" s="4" t="s">
        <v>56</v>
      </c>
    </row>
    <row r="10" spans="1:7" ht="15.75" thickBot="1" x14ac:dyDescent="0.3">
      <c r="B10" s="3" t="s">
        <v>72</v>
      </c>
      <c r="C10" s="3" t="s">
        <v>73</v>
      </c>
      <c r="D10" s="4" t="s">
        <v>55</v>
      </c>
      <c r="E10" s="5">
        <v>8891</v>
      </c>
      <c r="F10" s="4">
        <v>1851</v>
      </c>
      <c r="G10" s="4" t="s">
        <v>59</v>
      </c>
    </row>
    <row r="11" spans="1:7" ht="15.75" thickBot="1" x14ac:dyDescent="0.3">
      <c r="A11">
        <v>11</v>
      </c>
      <c r="B11" s="3" t="s">
        <v>74</v>
      </c>
      <c r="C11" s="3" t="s">
        <v>75</v>
      </c>
      <c r="D11" s="4" t="s">
        <v>55</v>
      </c>
      <c r="E11" s="5">
        <v>33972</v>
      </c>
      <c r="F11" s="4">
        <v>1866</v>
      </c>
      <c r="G11" s="4" t="s">
        <v>59</v>
      </c>
    </row>
    <row r="12" spans="1:7" ht="15.75" thickBot="1" x14ac:dyDescent="0.3">
      <c r="A12">
        <v>12</v>
      </c>
      <c r="B12" s="3" t="s">
        <v>76</v>
      </c>
      <c r="C12" s="3" t="s">
        <v>77</v>
      </c>
      <c r="D12" s="4" t="s">
        <v>55</v>
      </c>
      <c r="E12" s="5">
        <v>6796</v>
      </c>
      <c r="F12" s="4">
        <v>1922</v>
      </c>
      <c r="G12" s="4" t="s">
        <v>59</v>
      </c>
    </row>
    <row r="13" spans="1:7" ht="15.75" thickBot="1" x14ac:dyDescent="0.3">
      <c r="B13" s="3" t="s">
        <v>78</v>
      </c>
      <c r="C13" s="3" t="s">
        <v>74</v>
      </c>
      <c r="D13" s="4" t="s">
        <v>55</v>
      </c>
      <c r="E13" s="5">
        <v>13100</v>
      </c>
      <c r="F13" s="4">
        <v>1915</v>
      </c>
      <c r="G13" s="4" t="s">
        <v>59</v>
      </c>
    </row>
    <row r="14" spans="1:7" ht="15.75" thickBot="1" x14ac:dyDescent="0.3">
      <c r="A14">
        <v>14</v>
      </c>
      <c r="B14" s="3" t="s">
        <v>79</v>
      </c>
      <c r="C14" s="3" t="s">
        <v>80</v>
      </c>
      <c r="D14" s="4" t="s">
        <v>55</v>
      </c>
      <c r="E14" s="5">
        <v>7637</v>
      </c>
      <c r="F14" s="4">
        <v>1911</v>
      </c>
      <c r="G14" s="4" t="s">
        <v>56</v>
      </c>
    </row>
    <row r="15" spans="1:7" ht="15.75" thickBot="1" x14ac:dyDescent="0.3">
      <c r="A15">
        <v>15</v>
      </c>
      <c r="B15" s="3" t="s">
        <v>81</v>
      </c>
      <c r="C15" s="3" t="s">
        <v>82</v>
      </c>
      <c r="D15" s="4" t="s">
        <v>55</v>
      </c>
      <c r="E15" s="5">
        <v>6605</v>
      </c>
      <c r="F15" s="4">
        <v>1866</v>
      </c>
      <c r="G15" s="4" t="s">
        <v>56</v>
      </c>
    </row>
    <row r="16" spans="1:7" ht="15.75" thickBot="1" x14ac:dyDescent="0.3">
      <c r="A16">
        <v>16</v>
      </c>
      <c r="B16" s="3" t="s">
        <v>83</v>
      </c>
      <c r="C16" s="3" t="s">
        <v>84</v>
      </c>
      <c r="D16" s="4" t="s">
        <v>55</v>
      </c>
      <c r="E16" s="5">
        <v>7794</v>
      </c>
      <c r="F16" s="4">
        <v>1914</v>
      </c>
      <c r="G16" s="4" t="s">
        <v>62</v>
      </c>
    </row>
    <row r="17" spans="1:7" ht="15.75" thickBot="1" x14ac:dyDescent="0.3">
      <c r="A17">
        <v>17</v>
      </c>
      <c r="B17" s="3" t="s">
        <v>85</v>
      </c>
      <c r="C17" s="3" t="s">
        <v>77</v>
      </c>
      <c r="D17" s="4" t="s">
        <v>55</v>
      </c>
      <c r="E17" s="5">
        <v>5565</v>
      </c>
      <c r="F17" s="4">
        <v>1918</v>
      </c>
      <c r="G17" s="4" t="s">
        <v>56</v>
      </c>
    </row>
    <row r="18" spans="1:7" ht="15.75" thickBot="1" x14ac:dyDescent="0.3">
      <c r="A18">
        <v>18</v>
      </c>
      <c r="B18" s="3" t="s">
        <v>86</v>
      </c>
      <c r="C18" s="3" t="s">
        <v>67</v>
      </c>
      <c r="D18" s="4" t="s">
        <v>55</v>
      </c>
      <c r="E18" s="5">
        <v>26800</v>
      </c>
      <c r="F18" s="4">
        <v>1887</v>
      </c>
      <c r="G18" s="4" t="s">
        <v>59</v>
      </c>
    </row>
    <row r="19" spans="1:7" ht="15.75" thickBot="1" x14ac:dyDescent="0.3">
      <c r="A19">
        <v>19</v>
      </c>
      <c r="B19" s="3" t="s">
        <v>82</v>
      </c>
      <c r="C19" s="3" t="s">
        <v>82</v>
      </c>
      <c r="D19" s="4" t="s">
        <v>55</v>
      </c>
      <c r="E19" s="5">
        <v>101786</v>
      </c>
      <c r="F19" s="4">
        <v>1851</v>
      </c>
      <c r="G19" s="4" t="s">
        <v>68</v>
      </c>
    </row>
    <row r="20" spans="1:7" ht="15.75" thickBot="1" x14ac:dyDescent="0.3">
      <c r="B20" s="3" t="s">
        <v>87</v>
      </c>
      <c r="C20" s="3" t="s">
        <v>88</v>
      </c>
      <c r="D20" s="4" t="s">
        <v>55</v>
      </c>
      <c r="E20" s="5">
        <v>5111</v>
      </c>
      <c r="F20" s="4">
        <v>1932</v>
      </c>
      <c r="G20" s="4" t="s">
        <v>59</v>
      </c>
    </row>
    <row r="21" spans="1:7" ht="15.75" thickBot="1" x14ac:dyDescent="0.3">
      <c r="A21">
        <v>21</v>
      </c>
      <c r="B21" s="3" t="s">
        <v>89</v>
      </c>
      <c r="C21" s="3" t="s">
        <v>90</v>
      </c>
      <c r="D21" s="4" t="s">
        <v>55</v>
      </c>
      <c r="E21" s="5">
        <v>6545</v>
      </c>
      <c r="F21" s="4">
        <v>1868</v>
      </c>
      <c r="G21" s="4" t="s">
        <v>59</v>
      </c>
    </row>
    <row r="22" spans="1:7" ht="15.75" thickBot="1" x14ac:dyDescent="0.3">
      <c r="A22">
        <v>22</v>
      </c>
      <c r="B22" s="3" t="s">
        <v>91</v>
      </c>
      <c r="C22" s="3" t="s">
        <v>64</v>
      </c>
      <c r="D22" s="4" t="s">
        <v>55</v>
      </c>
      <c r="E22" s="5">
        <v>14892</v>
      </c>
      <c r="F22" s="4">
        <v>1928</v>
      </c>
      <c r="G22" s="4" t="s">
        <v>59</v>
      </c>
    </row>
    <row r="23" spans="1:7" ht="15.75" thickBot="1" x14ac:dyDescent="0.3">
      <c r="A23">
        <v>23</v>
      </c>
      <c r="B23" s="3" t="s">
        <v>92</v>
      </c>
      <c r="C23" s="3" t="s">
        <v>93</v>
      </c>
      <c r="D23" s="4" t="s">
        <v>55</v>
      </c>
      <c r="E23" s="5">
        <v>49528</v>
      </c>
      <c r="F23" s="4">
        <v>1860</v>
      </c>
      <c r="G23" s="4" t="s">
        <v>68</v>
      </c>
    </row>
    <row r="24" spans="1:7" ht="15.75" thickBot="1" x14ac:dyDescent="0.3">
      <c r="A24">
        <v>24</v>
      </c>
      <c r="B24" s="3" t="s">
        <v>94</v>
      </c>
      <c r="C24" s="3" t="s">
        <v>95</v>
      </c>
      <c r="D24" s="4" t="s">
        <v>55</v>
      </c>
      <c r="E24" s="5">
        <v>25340</v>
      </c>
      <c r="F24" s="4">
        <v>1891</v>
      </c>
      <c r="G24" s="4" t="s">
        <v>62</v>
      </c>
    </row>
    <row r="25" spans="1:7" ht="15.75" thickBot="1" x14ac:dyDescent="0.3">
      <c r="A25">
        <v>25</v>
      </c>
      <c r="B25" s="3" t="s">
        <v>96</v>
      </c>
      <c r="C25" s="3" t="s">
        <v>88</v>
      </c>
      <c r="D25" s="4" t="s">
        <v>55</v>
      </c>
      <c r="E25" s="5">
        <v>16220</v>
      </c>
      <c r="F25" s="4">
        <v>1976</v>
      </c>
      <c r="G25" s="4" t="s">
        <v>59</v>
      </c>
    </row>
    <row r="26" spans="1:7" ht="15.75" thickBot="1" x14ac:dyDescent="0.3">
      <c r="A26">
        <v>26</v>
      </c>
      <c r="B26" s="3" t="s">
        <v>97</v>
      </c>
      <c r="C26" s="3" t="s">
        <v>64</v>
      </c>
      <c r="D26" s="4" t="s">
        <v>55</v>
      </c>
      <c r="E26" s="5">
        <v>9654</v>
      </c>
      <c r="F26" s="4">
        <v>1938</v>
      </c>
      <c r="G26" s="4" t="s">
        <v>56</v>
      </c>
    </row>
    <row r="27" spans="1:7" ht="15.75" thickBot="1" x14ac:dyDescent="0.3">
      <c r="A27">
        <v>27</v>
      </c>
      <c r="B27" s="3" t="s">
        <v>98</v>
      </c>
      <c r="C27" s="3" t="s">
        <v>99</v>
      </c>
      <c r="D27" s="4" t="s">
        <v>55</v>
      </c>
      <c r="E27" s="5">
        <v>20978</v>
      </c>
      <c r="F27" s="4">
        <v>1889</v>
      </c>
      <c r="G27" s="4" t="s">
        <v>59</v>
      </c>
    </row>
    <row r="28" spans="1:7" ht="15.75" thickBot="1" x14ac:dyDescent="0.3">
      <c r="A28">
        <v>28</v>
      </c>
      <c r="B28" s="3" t="s">
        <v>100</v>
      </c>
      <c r="C28" s="3" t="s">
        <v>100</v>
      </c>
      <c r="D28" s="4" t="s">
        <v>55</v>
      </c>
      <c r="E28" s="5">
        <v>59322</v>
      </c>
      <c r="F28" s="4">
        <v>1818</v>
      </c>
      <c r="G28" s="4" t="s">
        <v>68</v>
      </c>
    </row>
    <row r="29" spans="1:7" ht="15.75" thickBot="1" x14ac:dyDescent="0.3">
      <c r="A29">
        <v>29</v>
      </c>
      <c r="B29" s="3" t="s">
        <v>101</v>
      </c>
      <c r="C29" s="3" t="s">
        <v>64</v>
      </c>
      <c r="D29" s="4" t="s">
        <v>55</v>
      </c>
      <c r="E29" s="5">
        <v>8944</v>
      </c>
      <c r="F29" s="4">
        <v>1999</v>
      </c>
      <c r="G29" s="4" t="s">
        <v>59</v>
      </c>
    </row>
    <row r="30" spans="1:7" ht="15.75" thickBot="1" x14ac:dyDescent="0.3">
      <c r="A30">
        <v>30</v>
      </c>
      <c r="B30" s="3" t="s">
        <v>102</v>
      </c>
      <c r="C30" s="3" t="s">
        <v>102</v>
      </c>
      <c r="D30" s="4" t="s">
        <v>55</v>
      </c>
      <c r="E30" s="5">
        <v>25477</v>
      </c>
      <c r="F30" s="4">
        <v>1885</v>
      </c>
      <c r="G30" s="4" t="s">
        <v>59</v>
      </c>
    </row>
    <row r="31" spans="1:7" ht="15.75" thickBot="1" x14ac:dyDescent="0.3">
      <c r="A31">
        <v>31</v>
      </c>
      <c r="B31" s="3" t="s">
        <v>103</v>
      </c>
      <c r="C31" s="3" t="s">
        <v>104</v>
      </c>
      <c r="D31" s="4" t="s">
        <v>55</v>
      </c>
      <c r="E31" s="5">
        <v>9772</v>
      </c>
      <c r="F31" s="4">
        <v>1870</v>
      </c>
      <c r="G31" s="4" t="s">
        <v>68</v>
      </c>
    </row>
    <row r="32" spans="1:7" ht="15.75" thickBot="1" x14ac:dyDescent="0.3">
      <c r="A32">
        <v>32</v>
      </c>
      <c r="B32" s="3" t="s">
        <v>105</v>
      </c>
      <c r="C32" s="3" t="s">
        <v>64</v>
      </c>
      <c r="D32" s="4" t="s">
        <v>55</v>
      </c>
      <c r="E32" s="5">
        <v>11761</v>
      </c>
      <c r="F32" s="4">
        <v>1959</v>
      </c>
      <c r="G32" s="4" t="s">
        <v>56</v>
      </c>
    </row>
    <row r="33" spans="1:7" ht="15.75" thickBot="1" x14ac:dyDescent="0.3">
      <c r="A33">
        <v>33</v>
      </c>
      <c r="B33" s="3" t="s">
        <v>106</v>
      </c>
      <c r="C33" s="3" t="s">
        <v>77</v>
      </c>
      <c r="D33" s="4" t="s">
        <v>55</v>
      </c>
      <c r="E33" s="5">
        <v>19731</v>
      </c>
      <c r="F33" s="4">
        <v>1891</v>
      </c>
      <c r="G33" s="4" t="s">
        <v>59</v>
      </c>
    </row>
    <row r="34" spans="1:7" ht="15.75" thickBot="1" x14ac:dyDescent="0.3">
      <c r="A34">
        <v>34</v>
      </c>
      <c r="B34" s="3" t="s">
        <v>107</v>
      </c>
      <c r="C34" s="3" t="s">
        <v>108</v>
      </c>
      <c r="D34" s="4" t="s">
        <v>55</v>
      </c>
      <c r="E34" s="5">
        <v>13388</v>
      </c>
      <c r="F34" s="4">
        <v>1866</v>
      </c>
      <c r="G34" s="4" t="s">
        <v>68</v>
      </c>
    </row>
    <row r="35" spans="1:7" ht="15.75" thickBot="1" x14ac:dyDescent="0.3">
      <c r="A35">
        <v>35</v>
      </c>
      <c r="B35" s="3" t="s">
        <v>109</v>
      </c>
      <c r="C35" s="3" t="s">
        <v>64</v>
      </c>
      <c r="D35" s="4" t="s">
        <v>55</v>
      </c>
      <c r="E35" s="5">
        <v>7720</v>
      </c>
      <c r="F35" s="4">
        <v>1921</v>
      </c>
      <c r="G35" s="4" t="s">
        <v>56</v>
      </c>
    </row>
    <row r="36" spans="1:7" ht="15.75" thickBot="1" x14ac:dyDescent="0.3">
      <c r="A36">
        <v>36</v>
      </c>
      <c r="B36" s="3" t="s">
        <v>110</v>
      </c>
      <c r="C36" s="3" t="s">
        <v>111</v>
      </c>
      <c r="D36" s="4" t="s">
        <v>55</v>
      </c>
      <c r="E36" s="5">
        <v>4300</v>
      </c>
      <c r="F36" s="4">
        <v>1873</v>
      </c>
      <c r="G36" s="4" t="s">
        <v>56</v>
      </c>
    </row>
    <row r="37" spans="1:7" ht="15.75" thickBot="1" x14ac:dyDescent="0.3">
      <c r="A37">
        <v>37</v>
      </c>
      <c r="B37" s="3" t="s">
        <v>112</v>
      </c>
      <c r="C37" s="3" t="s">
        <v>95</v>
      </c>
      <c r="D37" s="4" t="s">
        <v>55</v>
      </c>
      <c r="E37" s="5">
        <v>10465</v>
      </c>
      <c r="F37" s="4">
        <v>1926</v>
      </c>
      <c r="G37" s="4" t="s">
        <v>59</v>
      </c>
    </row>
    <row r="38" spans="1:7" ht="15.75" thickBot="1" x14ac:dyDescent="0.3">
      <c r="A38">
        <v>38</v>
      </c>
      <c r="B38" s="3" t="s">
        <v>113</v>
      </c>
      <c r="C38" s="3" t="s">
        <v>114</v>
      </c>
      <c r="D38" s="4" t="s">
        <v>55</v>
      </c>
      <c r="E38" s="5">
        <v>23273</v>
      </c>
      <c r="F38" s="4">
        <v>1869</v>
      </c>
      <c r="G38" s="4" t="s">
        <v>68</v>
      </c>
    </row>
    <row r="39" spans="1:7" ht="15.75" thickBot="1" x14ac:dyDescent="0.3">
      <c r="A39">
        <v>39</v>
      </c>
      <c r="B39" s="3" t="s">
        <v>115</v>
      </c>
      <c r="C39" s="3" t="s">
        <v>64</v>
      </c>
      <c r="D39" s="4" t="s">
        <v>55</v>
      </c>
      <c r="E39" s="5">
        <v>13116</v>
      </c>
      <c r="F39" s="4">
        <v>1934</v>
      </c>
      <c r="G39" s="4" t="s">
        <v>56</v>
      </c>
    </row>
    <row r="40" spans="1:7" ht="15.75" thickBot="1" x14ac:dyDescent="0.3">
      <c r="A40">
        <v>40</v>
      </c>
      <c r="B40" s="3" t="s">
        <v>116</v>
      </c>
      <c r="C40" s="3" t="s">
        <v>90</v>
      </c>
      <c r="D40" s="4" t="s">
        <v>55</v>
      </c>
      <c r="E40" s="5">
        <v>10557</v>
      </c>
      <c r="F40" s="4">
        <v>1871</v>
      </c>
      <c r="G40" s="4" t="s">
        <v>68</v>
      </c>
    </row>
    <row r="41" spans="1:7" ht="15.75" thickBot="1" x14ac:dyDescent="0.3">
      <c r="A41">
        <v>41</v>
      </c>
      <c r="B41" s="3" t="s">
        <v>117</v>
      </c>
      <c r="C41" s="3" t="s">
        <v>118</v>
      </c>
      <c r="D41" s="4" t="s">
        <v>55</v>
      </c>
      <c r="E41" s="4">
        <v>840</v>
      </c>
      <c r="F41" s="4">
        <v>1873</v>
      </c>
      <c r="G41" s="4" t="s">
        <v>56</v>
      </c>
    </row>
    <row r="42" spans="1:7" ht="15.75" thickBot="1" x14ac:dyDescent="0.3">
      <c r="A42">
        <v>13</v>
      </c>
      <c r="B42" s="3" t="s">
        <v>119</v>
      </c>
      <c r="C42" s="3" t="s">
        <v>119</v>
      </c>
      <c r="D42" s="4" t="s">
        <v>120</v>
      </c>
      <c r="E42" s="5">
        <v>1526006</v>
      </c>
      <c r="F42" s="4">
        <v>1701</v>
      </c>
      <c r="G42" s="4" t="s">
        <v>59</v>
      </c>
    </row>
    <row r="43" spans="1:7" ht="15.75" thickBot="1" x14ac:dyDescent="0.3">
      <c r="A43">
        <v>20</v>
      </c>
      <c r="B43" s="3" t="s">
        <v>121</v>
      </c>
      <c r="C43" s="3" t="s">
        <v>77</v>
      </c>
      <c r="D43" s="4" t="s">
        <v>122</v>
      </c>
      <c r="E43" s="5">
        <v>305704</v>
      </c>
      <c r="F43" s="4">
        <v>1816</v>
      </c>
      <c r="G43" s="4" t="s">
        <v>59</v>
      </c>
    </row>
    <row r="44" spans="1:7" ht="15.75" thickBot="1" x14ac:dyDescent="0.3">
      <c r="A44">
        <v>44</v>
      </c>
      <c r="B44" s="3" t="s">
        <v>123</v>
      </c>
      <c r="C44" s="3" t="s">
        <v>95</v>
      </c>
      <c r="D44" s="4" t="s">
        <v>55</v>
      </c>
      <c r="E44" s="5">
        <v>7739</v>
      </c>
      <c r="F44" s="4">
        <v>1894</v>
      </c>
      <c r="G44" s="4" t="s">
        <v>59</v>
      </c>
    </row>
    <row r="45" spans="1:7" ht="15.75" thickBot="1" x14ac:dyDescent="0.3">
      <c r="A45">
        <v>45</v>
      </c>
      <c r="B45" s="3" t="s">
        <v>124</v>
      </c>
      <c r="C45" s="3" t="s">
        <v>125</v>
      </c>
      <c r="D45" s="4" t="s">
        <v>55</v>
      </c>
      <c r="E45" s="5">
        <v>14324</v>
      </c>
      <c r="F45" s="4">
        <v>1911</v>
      </c>
      <c r="G45" s="4" t="s">
        <v>56</v>
      </c>
    </row>
    <row r="46" spans="1:7" ht="15.75" thickBot="1" x14ac:dyDescent="0.3">
      <c r="A46">
        <v>4</v>
      </c>
      <c r="B46" s="3" t="s">
        <v>126</v>
      </c>
      <c r="C46" s="3" t="s">
        <v>127</v>
      </c>
      <c r="D46" s="4" t="s">
        <v>55</v>
      </c>
      <c r="E46" s="5">
        <v>88082</v>
      </c>
      <c r="F46" s="4">
        <v>1847</v>
      </c>
      <c r="G46" s="4" t="s">
        <v>59</v>
      </c>
    </row>
    <row r="47" spans="1:7" ht="15.75" thickBot="1" x14ac:dyDescent="0.3">
      <c r="B47" s="3" t="s">
        <v>128</v>
      </c>
      <c r="C47" s="3" t="s">
        <v>73</v>
      </c>
      <c r="D47" s="4" t="s">
        <v>129</v>
      </c>
      <c r="E47" s="5">
        <v>76089</v>
      </c>
      <c r="F47" s="4">
        <v>1866</v>
      </c>
      <c r="G47" s="4" t="s">
        <v>59</v>
      </c>
    </row>
    <row r="48" spans="1:7" ht="15.75" thickBot="1" x14ac:dyDescent="0.3">
      <c r="A48">
        <v>48</v>
      </c>
      <c r="B48" s="3" t="s">
        <v>130</v>
      </c>
      <c r="C48" s="3" t="s">
        <v>131</v>
      </c>
      <c r="D48" s="4" t="s">
        <v>55</v>
      </c>
      <c r="E48" s="5">
        <v>7374</v>
      </c>
      <c r="F48" s="4">
        <v>1949</v>
      </c>
      <c r="G48" s="4" t="s">
        <v>56</v>
      </c>
    </row>
    <row r="49" spans="1:7" ht="15.75" thickBot="1" x14ac:dyDescent="0.3">
      <c r="A49">
        <v>49</v>
      </c>
      <c r="B49" s="3" t="s">
        <v>132</v>
      </c>
      <c r="C49" s="3" t="s">
        <v>88</v>
      </c>
      <c r="D49" s="4" t="s">
        <v>55</v>
      </c>
      <c r="E49" s="5">
        <v>14038</v>
      </c>
      <c r="F49" s="4">
        <v>1917</v>
      </c>
      <c r="G49" s="4" t="s">
        <v>59</v>
      </c>
    </row>
    <row r="50" spans="1:7" ht="15.75" thickBot="1" x14ac:dyDescent="0.3">
      <c r="A50">
        <v>50</v>
      </c>
      <c r="B50" s="3" t="s">
        <v>133</v>
      </c>
      <c r="C50" s="3" t="s">
        <v>134</v>
      </c>
      <c r="D50" s="4" t="s">
        <v>55</v>
      </c>
      <c r="E50" s="5">
        <v>13070</v>
      </c>
      <c r="F50" s="4">
        <v>1992</v>
      </c>
      <c r="G50" s="4" t="s">
        <v>59</v>
      </c>
    </row>
    <row r="51" spans="1:7" ht="15.75" thickBot="1" x14ac:dyDescent="0.3">
      <c r="A51">
        <v>51</v>
      </c>
      <c r="B51" s="3" t="s">
        <v>135</v>
      </c>
      <c r="C51" s="3" t="s">
        <v>131</v>
      </c>
      <c r="D51" s="4" t="s">
        <v>55</v>
      </c>
      <c r="E51" s="5">
        <v>9905</v>
      </c>
      <c r="F51" s="4">
        <v>1920</v>
      </c>
      <c r="G51" s="4" t="s">
        <v>56</v>
      </c>
    </row>
    <row r="52" spans="1:7" ht="15.75" thickBot="1" x14ac:dyDescent="0.3">
      <c r="A52">
        <v>52</v>
      </c>
      <c r="B52" s="3" t="s">
        <v>136</v>
      </c>
      <c r="C52" s="3" t="s">
        <v>108</v>
      </c>
      <c r="D52" s="4" t="s">
        <v>55</v>
      </c>
      <c r="E52" s="5">
        <v>5602</v>
      </c>
      <c r="F52" s="4">
        <v>1866</v>
      </c>
      <c r="G52" s="4" t="s">
        <v>68</v>
      </c>
    </row>
    <row r="53" spans="1:7" ht="15.75" thickBot="1" x14ac:dyDescent="0.3">
      <c r="A53">
        <v>53</v>
      </c>
      <c r="B53" s="3" t="s">
        <v>137</v>
      </c>
      <c r="C53" s="3" t="s">
        <v>80</v>
      </c>
      <c r="D53" s="4" t="s">
        <v>55</v>
      </c>
      <c r="E53" s="5">
        <v>10372</v>
      </c>
      <c r="F53" s="4">
        <v>1864</v>
      </c>
      <c r="G53" s="4" t="s">
        <v>56</v>
      </c>
    </row>
    <row r="54" spans="1:7" ht="15.75" thickBot="1" x14ac:dyDescent="0.3">
      <c r="A54">
        <v>54</v>
      </c>
      <c r="B54" s="3" t="s">
        <v>138</v>
      </c>
      <c r="C54" s="3" t="s">
        <v>138</v>
      </c>
      <c r="D54" s="4" t="s">
        <v>55</v>
      </c>
      <c r="E54" s="5">
        <v>9710</v>
      </c>
      <c r="F54" s="4">
        <v>1832</v>
      </c>
      <c r="G54" s="4" t="s">
        <v>59</v>
      </c>
    </row>
    <row r="55" spans="1:7" ht="15.75" thickBot="1" x14ac:dyDescent="0.3">
      <c r="A55">
        <v>10</v>
      </c>
      <c r="B55" s="3" t="s">
        <v>111</v>
      </c>
      <c r="C55" s="3" t="s">
        <v>111</v>
      </c>
      <c r="D55" s="4" t="s">
        <v>55</v>
      </c>
      <c r="E55" s="5">
        <v>13663</v>
      </c>
      <c r="F55" s="4">
        <v>1924</v>
      </c>
      <c r="G55" s="4" t="s">
        <v>56</v>
      </c>
    </row>
    <row r="56" spans="1:7" ht="15.75" thickBot="1" x14ac:dyDescent="0.3">
      <c r="A56">
        <v>7</v>
      </c>
      <c r="B56" s="3" t="s">
        <v>139</v>
      </c>
      <c r="C56" s="3" t="s">
        <v>95</v>
      </c>
      <c r="D56" s="4" t="s">
        <v>55</v>
      </c>
      <c r="E56" s="5">
        <v>41498</v>
      </c>
      <c r="F56" s="4">
        <v>1871</v>
      </c>
      <c r="G56" s="4" t="s">
        <v>59</v>
      </c>
    </row>
    <row r="57" spans="1:7" ht="15.75" thickBot="1" x14ac:dyDescent="0.3">
      <c r="A57">
        <v>57</v>
      </c>
      <c r="B57" s="3" t="s">
        <v>140</v>
      </c>
      <c r="C57" s="3" t="s">
        <v>141</v>
      </c>
      <c r="D57" s="4" t="s">
        <v>55</v>
      </c>
      <c r="E57" s="5">
        <v>29381</v>
      </c>
      <c r="F57" s="4">
        <v>1866</v>
      </c>
      <c r="G57" s="4" t="s">
        <v>68</v>
      </c>
    </row>
    <row r="58" spans="1:7" ht="15.75" thickBot="1" x14ac:dyDescent="0.3">
      <c r="A58">
        <v>58</v>
      </c>
      <c r="B58" s="3" t="s">
        <v>142</v>
      </c>
      <c r="C58" s="3" t="s">
        <v>142</v>
      </c>
      <c r="D58" s="4" t="s">
        <v>55</v>
      </c>
      <c r="E58" s="5">
        <v>43718</v>
      </c>
      <c r="F58" s="4">
        <v>1887</v>
      </c>
      <c r="G58" s="4" t="s">
        <v>68</v>
      </c>
    </row>
  </sheetData>
  <mergeCells count="5">
    <mergeCell ref="B6:B7"/>
    <mergeCell ref="D6:D7"/>
    <mergeCell ref="E6:E7"/>
    <mergeCell ref="F6:F7"/>
    <mergeCell ref="G6:G7"/>
  </mergeCells>
  <hyperlinks>
    <hyperlink ref="B1" r:id="rId1" tooltip="Aliquippa, Pennsylvania" display="https://en.wikipedia.org/wiki/Aliquippa,_Pennsylvania" xr:uid="{00000000-0004-0000-0500-000000000000}"/>
    <hyperlink ref="C1" r:id="rId2" tooltip="Beaver County, Pennsylvania" display="https://en.wikipedia.org/wiki/Beaver_County,_Pennsylvania" xr:uid="{00000000-0004-0000-0500-000001000000}"/>
    <hyperlink ref="B2" r:id="rId3" tooltip="Allentown, Pennsylvania" display="https://en.wikipedia.org/wiki/Allentown,_Pennsylvania" xr:uid="{00000000-0004-0000-0500-000002000000}"/>
    <hyperlink ref="C2" r:id="rId4" tooltip="Lehigh County, Pennsylvania" display="https://en.wikipedia.org/wiki/Lehigh_County,_Pennsylvania" xr:uid="{00000000-0004-0000-0500-000003000000}"/>
    <hyperlink ref="B3" r:id="rId5" tooltip="Altoona, Pennsylvania" display="https://en.wikipedia.org/wiki/Altoona,_Pennsylvania" xr:uid="{00000000-0004-0000-0500-000004000000}"/>
    <hyperlink ref="C3" r:id="rId6" tooltip="Blair County, Pennsylvania" display="https://en.wikipedia.org/wiki/Blair_County,_Pennsylvania" xr:uid="{00000000-0004-0000-0500-000005000000}"/>
    <hyperlink ref="B4" r:id="rId7" tooltip="Arnold, Pennsylvania" display="https://en.wikipedia.org/wiki/Arnold,_Pennsylvania" xr:uid="{00000000-0004-0000-0500-000006000000}"/>
    <hyperlink ref="C4" r:id="rId8" tooltip="Westmoreland County, Pennsylvania" display="https://en.wikipedia.org/wiki/Westmoreland_County,_Pennsylvania" xr:uid="{00000000-0004-0000-0500-000007000000}"/>
    <hyperlink ref="B5" r:id="rId9" tooltip="Beaver Falls, Pennsylvania" display="https://en.wikipedia.org/wiki/Beaver_Falls,_Pennsylvania" xr:uid="{00000000-0004-0000-0500-000008000000}"/>
    <hyperlink ref="C5" r:id="rId10" tooltip="Beaver County, Pennsylvania" display="https://en.wikipedia.org/wiki/Beaver_County,_Pennsylvania" xr:uid="{00000000-0004-0000-0500-000009000000}"/>
    <hyperlink ref="B6" r:id="rId11" tooltip="Bethlehem, Pennsylvania" display="https://en.wikipedia.org/wiki/Bethlehem,_Pennsylvania" xr:uid="{00000000-0004-0000-0500-00000A000000}"/>
    <hyperlink ref="C6" r:id="rId12" tooltip="Lehigh County, Pennsylvania" display="https://en.wikipedia.org/wiki/Lehigh_County,_Pennsylvania" xr:uid="{00000000-0004-0000-0500-00000B000000}"/>
    <hyperlink ref="C7" r:id="rId13" tooltip="Northampton County, Pennsylvania" display="https://en.wikipedia.org/wiki/Northampton_County,_Pennsylvania" xr:uid="{00000000-0004-0000-0500-00000C000000}"/>
    <hyperlink ref="B8" r:id="rId14" tooltip="Bradford, Pennsylvania" display="https://en.wikipedia.org/wiki/Bradford,_Pennsylvania" xr:uid="{00000000-0004-0000-0500-00000D000000}"/>
    <hyperlink ref="C8" r:id="rId15" tooltip="McKean County, Pennsylvania" display="https://en.wikipedia.org/wiki/McKean_County,_Pennsylvania" xr:uid="{00000000-0004-0000-0500-00000E000000}"/>
    <hyperlink ref="B9" r:id="rId16" tooltip="Butler, Pennsylvania" display="https://en.wikipedia.org/wiki/Butler,_Pennsylvania" xr:uid="{00000000-0004-0000-0500-00000F000000}"/>
    <hyperlink ref="C9" r:id="rId17" tooltip="Butler County, Pennsylvania" display="https://en.wikipedia.org/wiki/Butler_County,_Pennsylvania" xr:uid="{00000000-0004-0000-0500-000010000000}"/>
    <hyperlink ref="B10" r:id="rId18" tooltip="Carbondale, Pennsylvania" display="https://en.wikipedia.org/wiki/Carbondale,_Pennsylvania" xr:uid="{00000000-0004-0000-0500-000011000000}"/>
    <hyperlink ref="C10" r:id="rId19" tooltip="Lackawanna County, Pennsylvania" display="https://en.wikipedia.org/wiki/Lackawanna_County,_Pennsylvania" xr:uid="{00000000-0004-0000-0500-000012000000}"/>
    <hyperlink ref="B11" r:id="rId20" tooltip="Chester, Pennsylvania" display="https://en.wikipedia.org/wiki/Chester,_Pennsylvania" xr:uid="{00000000-0004-0000-0500-000013000000}"/>
    <hyperlink ref="C11" r:id="rId21" tooltip="Delaware County, Pennsylvania" display="https://en.wikipedia.org/wiki/Delaware_County,_Pennsylvania" xr:uid="{00000000-0004-0000-0500-000014000000}"/>
    <hyperlink ref="B12" r:id="rId22" tooltip="Clairton, Pennsylvania" display="https://en.wikipedia.org/wiki/Clairton,_Pennsylvania" xr:uid="{00000000-0004-0000-0500-000015000000}"/>
    <hyperlink ref="C12" r:id="rId23" tooltip="Allegheny County, Pennsylvania" display="https://en.wikipedia.org/wiki/Allegheny_County,_Pennsylvania" xr:uid="{00000000-0004-0000-0500-000016000000}"/>
    <hyperlink ref="B13" r:id="rId24" tooltip="Coatesville, Pennsylvania" display="https://en.wikipedia.org/wiki/Coatesville,_Pennsylvania" xr:uid="{00000000-0004-0000-0500-000017000000}"/>
    <hyperlink ref="C13" r:id="rId25" tooltip="Chester County, Pennsylvania" display="https://en.wikipedia.org/wiki/Chester_County,_Pennsylvania" xr:uid="{00000000-0004-0000-0500-000018000000}"/>
    <hyperlink ref="B14" r:id="rId26" tooltip="Connellsville, Pennsylvania" display="https://en.wikipedia.org/wiki/Connellsville,_Pennsylvania" xr:uid="{00000000-0004-0000-0500-000019000000}"/>
    <hyperlink ref="C14" r:id="rId27" tooltip="Fayette County, Pennsylvania" display="https://en.wikipedia.org/wiki/Fayette_County,_Pennsylvania" xr:uid="{00000000-0004-0000-0500-00001A000000}"/>
    <hyperlink ref="B15" r:id="rId28" tooltip="Corry, Pennsylvania" display="https://en.wikipedia.org/wiki/Corry,_Pennsylvania" xr:uid="{00000000-0004-0000-0500-00001B000000}"/>
    <hyperlink ref="C15" r:id="rId29" tooltip="Erie County, Pennsylvania" display="https://en.wikipedia.org/wiki/Erie_County,_Pennsylvania" xr:uid="{00000000-0004-0000-0500-00001C000000}"/>
    <hyperlink ref="B16" r:id="rId30" tooltip="DuBois, Pennsylvania" display="https://en.wikipedia.org/wiki/DuBois,_Pennsylvania" xr:uid="{00000000-0004-0000-0500-00001D000000}"/>
    <hyperlink ref="C16" r:id="rId31" tooltip="Clearfield County, Pennsylvania" display="https://en.wikipedia.org/wiki/Clearfield_County,_Pennsylvania" xr:uid="{00000000-0004-0000-0500-00001E000000}"/>
    <hyperlink ref="B17" r:id="rId32" tooltip="Duquesne, Pennsylvania" display="https://en.wikipedia.org/wiki/Duquesne,_Pennsylvania" xr:uid="{00000000-0004-0000-0500-00001F000000}"/>
    <hyperlink ref="C17" r:id="rId33" tooltip="Allegheny County, Pennsylvania" display="https://en.wikipedia.org/wiki/Allegheny_County,_Pennsylvania" xr:uid="{00000000-0004-0000-0500-000020000000}"/>
    <hyperlink ref="B18" r:id="rId34" tooltip="Easton, Pennsylvania" display="https://en.wikipedia.org/wiki/Easton,_Pennsylvania" xr:uid="{00000000-0004-0000-0500-000021000000}"/>
    <hyperlink ref="C18" r:id="rId35" tooltip="Northampton County, Pennsylvania" display="https://en.wikipedia.org/wiki/Northampton_County,_Pennsylvania" xr:uid="{00000000-0004-0000-0500-000022000000}"/>
    <hyperlink ref="B19" r:id="rId36" tooltip="Erie, Pennsylvania" display="https://en.wikipedia.org/wiki/Erie,_Pennsylvania" xr:uid="{00000000-0004-0000-0500-000023000000}"/>
    <hyperlink ref="C19" r:id="rId37" tooltip="Erie County, Pennsylvania" display="https://en.wikipedia.org/wiki/Erie_County,_Pennsylvania" xr:uid="{00000000-0004-0000-0500-000024000000}"/>
    <hyperlink ref="B20" r:id="rId38" tooltip="Farrell, Pennsylvania" display="https://en.wikipedia.org/wiki/Farrell,_Pennsylvania" xr:uid="{00000000-0004-0000-0500-000025000000}"/>
    <hyperlink ref="C20" r:id="rId39" tooltip="Mercer County, Pennsylvania" display="https://en.wikipedia.org/wiki/Mercer_County,_Pennsylvania" xr:uid="{00000000-0004-0000-0500-000026000000}"/>
    <hyperlink ref="B21" r:id="rId40" tooltip="Franklin, Pennsylvania" display="https://en.wikipedia.org/wiki/Franklin,_Pennsylvania" xr:uid="{00000000-0004-0000-0500-000027000000}"/>
    <hyperlink ref="C21" r:id="rId41" tooltip="Venango County, Pennsylvania" display="https://en.wikipedia.org/wiki/Venango_County,_Pennsylvania" xr:uid="{00000000-0004-0000-0500-000028000000}"/>
    <hyperlink ref="B22" r:id="rId42" tooltip="Greensburg, Pennsylvania" display="https://en.wikipedia.org/wiki/Greensburg,_Pennsylvania" xr:uid="{00000000-0004-0000-0500-000029000000}"/>
    <hyperlink ref="C22" r:id="rId43" tooltip="Westmoreland County, Pennsylvania" display="https://en.wikipedia.org/wiki/Westmoreland_County,_Pennsylvania" xr:uid="{00000000-0004-0000-0500-00002A000000}"/>
    <hyperlink ref="B23" r:id="rId44" tooltip="Harrisburg, Pennsylvania" display="https://en.wikipedia.org/wiki/Harrisburg,_Pennsylvania" xr:uid="{00000000-0004-0000-0500-00002B000000}"/>
    <hyperlink ref="C23" r:id="rId45" tooltip="Dauphin County, Pennsylvania" display="https://en.wikipedia.org/wiki/Dauphin_County,_Pennsylvania" xr:uid="{00000000-0004-0000-0500-00002C000000}"/>
    <hyperlink ref="B24" r:id="rId46" tooltip="Hazleton, Pennsylvania" display="https://en.wikipedia.org/wiki/Hazleton,_Pennsylvania" xr:uid="{00000000-0004-0000-0500-00002D000000}"/>
    <hyperlink ref="C24" r:id="rId47" tooltip="Luzerne County, Pennsylvania" display="https://en.wikipedia.org/wiki/Luzerne_County,_Pennsylvania" xr:uid="{00000000-0004-0000-0500-00002E000000}"/>
    <hyperlink ref="B25" r:id="rId48" tooltip="Hermitage, Pennsylvania" display="https://en.wikipedia.org/wiki/Hermitage,_Pennsylvania" xr:uid="{00000000-0004-0000-0500-00002F000000}"/>
    <hyperlink ref="C25" r:id="rId49" tooltip="Mercer County, Pennsylvania" display="https://en.wikipedia.org/wiki/Mercer_County,_Pennsylvania" xr:uid="{00000000-0004-0000-0500-000030000000}"/>
    <hyperlink ref="B26" r:id="rId50" tooltip="Jeannette, Pennsylvania" display="https://en.wikipedia.org/wiki/Jeannette,_Pennsylvania" xr:uid="{00000000-0004-0000-0500-000031000000}"/>
    <hyperlink ref="C26" r:id="rId51" tooltip="Westmoreland County, Pennsylvania" display="https://en.wikipedia.org/wiki/Westmoreland_County,_Pennsylvania" xr:uid="{00000000-0004-0000-0500-000032000000}"/>
    <hyperlink ref="B27" r:id="rId52" tooltip="Johnstown, Pennsylvania" display="https://en.wikipedia.org/wiki/Johnstown,_Pennsylvania" xr:uid="{00000000-0004-0000-0500-000033000000}"/>
    <hyperlink ref="C27" r:id="rId53" tooltip="Cambria County, Pennsylvania" display="https://en.wikipedia.org/wiki/Cambria_County,_Pennsylvania" xr:uid="{00000000-0004-0000-0500-000034000000}"/>
    <hyperlink ref="B28" r:id="rId54" tooltip="Lancaster, Pennsylvania" display="https://en.wikipedia.org/wiki/Lancaster,_Pennsylvania" xr:uid="{00000000-0004-0000-0500-000035000000}"/>
    <hyperlink ref="C28" r:id="rId55" tooltip="Lancaster County, Pennsylvania" display="https://en.wikipedia.org/wiki/Lancaster_County,_Pennsylvania" xr:uid="{00000000-0004-0000-0500-000036000000}"/>
    <hyperlink ref="B29" r:id="rId56" tooltip="Latrobe, Pennsylvania" display="https://en.wikipedia.org/wiki/Latrobe,_Pennsylvania" xr:uid="{00000000-0004-0000-0500-000037000000}"/>
    <hyperlink ref="C29" r:id="rId57" tooltip="Westmoreland County, Pennsylvania" display="https://en.wikipedia.org/wiki/Westmoreland_County,_Pennsylvania" xr:uid="{00000000-0004-0000-0500-000038000000}"/>
    <hyperlink ref="B30" r:id="rId58" tooltip="Lebanon, Pennsylvania" display="https://en.wikipedia.org/wiki/Lebanon,_Pennsylvania" xr:uid="{00000000-0004-0000-0500-000039000000}"/>
    <hyperlink ref="C30" r:id="rId59" tooltip="Lebanon County, Pennsylvania" display="https://en.wikipedia.org/wiki/Lebanon_County,_Pennsylvania" xr:uid="{00000000-0004-0000-0500-00003A000000}"/>
    <hyperlink ref="B31" r:id="rId60" tooltip="Lock Haven, Pennsylvania" display="https://en.wikipedia.org/wiki/Lock_Haven,_Pennsylvania" xr:uid="{00000000-0004-0000-0500-00003B000000}"/>
    <hyperlink ref="C31" r:id="rId61" tooltip="Clinton County, Pennsylvania" display="https://en.wikipedia.org/wiki/Clinton_County,_Pennsylvania" xr:uid="{00000000-0004-0000-0500-00003C000000}"/>
    <hyperlink ref="B32" r:id="rId62" tooltip="Lower Burrell, Pennsylvania" display="https://en.wikipedia.org/wiki/Lower_Burrell,_Pennsylvania" xr:uid="{00000000-0004-0000-0500-00003D000000}"/>
    <hyperlink ref="C32" r:id="rId63" tooltip="Westmoreland County, Pennsylvania" display="https://en.wikipedia.org/wiki/Westmoreland_County,_Pennsylvania" xr:uid="{00000000-0004-0000-0500-00003E000000}"/>
    <hyperlink ref="B33" r:id="rId64" tooltip="McKeesport, Pennsylvania" display="https://en.wikipedia.org/wiki/McKeesport,_Pennsylvania" xr:uid="{00000000-0004-0000-0500-00003F000000}"/>
    <hyperlink ref="C33" r:id="rId65" tooltip="Allegheny County, Pennsylvania" display="https://en.wikipedia.org/wiki/Allegheny_County,_Pennsylvania" xr:uid="{00000000-0004-0000-0500-000040000000}"/>
    <hyperlink ref="B34" r:id="rId66" tooltip="Meadville, Pennsylvania" display="https://en.wikipedia.org/wiki/Meadville,_Pennsylvania" xr:uid="{00000000-0004-0000-0500-000041000000}"/>
    <hyperlink ref="C34" r:id="rId67" tooltip="Crawford County, Pennsylvania" display="https://en.wikipedia.org/wiki/Crawford_County,_Pennsylvania" xr:uid="{00000000-0004-0000-0500-000042000000}"/>
    <hyperlink ref="B35" r:id="rId68" tooltip="Monessen, Pennsylvania" display="https://en.wikipedia.org/wiki/Monessen,_Pennsylvania" xr:uid="{00000000-0004-0000-0500-000043000000}"/>
    <hyperlink ref="C35" r:id="rId69" tooltip="Westmoreland County, Pennsylvania" display="https://en.wikipedia.org/wiki/Westmoreland_County,_Pennsylvania" xr:uid="{00000000-0004-0000-0500-000044000000}"/>
    <hyperlink ref="B36" r:id="rId70" tooltip="Monongahela, Pennsylvania" display="https://en.wikipedia.org/wiki/Monongahela,_Pennsylvania" xr:uid="{00000000-0004-0000-0500-000045000000}"/>
    <hyperlink ref="C36" r:id="rId71" tooltip="Washington County, Pennsylvania" display="https://en.wikipedia.org/wiki/Washington_County,_Pennsylvania" xr:uid="{00000000-0004-0000-0500-000046000000}"/>
    <hyperlink ref="B37" r:id="rId72" tooltip="Nanticoke, Pennsylvania" display="https://en.wikipedia.org/wiki/Nanticoke,_Pennsylvania" xr:uid="{00000000-0004-0000-0500-000047000000}"/>
    <hyperlink ref="C37" r:id="rId73" tooltip="Luzerne County, Pennsylvania" display="https://en.wikipedia.org/wiki/Luzerne_County,_Pennsylvania" xr:uid="{00000000-0004-0000-0500-000048000000}"/>
    <hyperlink ref="B38" r:id="rId74" tooltip="New Castle, Pennsylvania" display="https://en.wikipedia.org/wiki/New_Castle,_Pennsylvania" xr:uid="{00000000-0004-0000-0500-000049000000}"/>
    <hyperlink ref="C38" r:id="rId75" tooltip="Lawrence County, Pennsylvania" display="https://en.wikipedia.org/wiki/Lawrence_County,_Pennsylvania" xr:uid="{00000000-0004-0000-0500-00004A000000}"/>
    <hyperlink ref="B39" r:id="rId76" tooltip="New Kensington, Pennsylvania" display="https://en.wikipedia.org/wiki/New_Kensington,_Pennsylvania" xr:uid="{00000000-0004-0000-0500-00004B000000}"/>
    <hyperlink ref="C39" r:id="rId77" tooltip="Westmoreland County, Pennsylvania" display="https://en.wikipedia.org/wiki/Westmoreland_County,_Pennsylvania" xr:uid="{00000000-0004-0000-0500-00004C000000}"/>
    <hyperlink ref="B40" r:id="rId78" tooltip="Oil City, Pennsylvania" display="https://en.wikipedia.org/wiki/Oil_City,_Pennsylvania" xr:uid="{00000000-0004-0000-0500-00004D000000}"/>
    <hyperlink ref="C40" r:id="rId79" tooltip="Venango County, Pennsylvania" display="https://en.wikipedia.org/wiki/Venango_County,_Pennsylvania" xr:uid="{00000000-0004-0000-0500-00004E000000}"/>
    <hyperlink ref="B41" r:id="rId80" tooltip="Parker, Pennsylvania" display="https://en.wikipedia.org/wiki/Parker,_Pennsylvania" xr:uid="{00000000-0004-0000-0500-00004F000000}"/>
    <hyperlink ref="C41" r:id="rId81" tooltip="Armstrong County, Pennsylvania" display="https://en.wikipedia.org/wiki/Armstrong_County,_Pennsylvania" xr:uid="{00000000-0004-0000-0500-000050000000}"/>
    <hyperlink ref="B42" r:id="rId82" tooltip="Philadelphia" display="https://en.wikipedia.org/wiki/Philadelphia" xr:uid="{00000000-0004-0000-0500-000051000000}"/>
    <hyperlink ref="C42" r:id="rId83" tooltip="Philadelphia County, Pennsylvania" display="https://en.wikipedia.org/wiki/Philadelphia_County,_Pennsylvania" xr:uid="{00000000-0004-0000-0500-000052000000}"/>
    <hyperlink ref="B43" r:id="rId84" tooltip="Pittsburgh" display="https://en.wikipedia.org/wiki/Pittsburgh" xr:uid="{00000000-0004-0000-0500-000053000000}"/>
    <hyperlink ref="C43" r:id="rId85" tooltip="Allegheny County, Pennsylvania" display="https://en.wikipedia.org/wiki/Allegheny_County,_Pennsylvania" xr:uid="{00000000-0004-0000-0500-000054000000}"/>
    <hyperlink ref="B44" r:id="rId86" tooltip="Pittston, Pennsylvania" display="https://en.wikipedia.org/wiki/Pittston,_Pennsylvania" xr:uid="{00000000-0004-0000-0500-000055000000}"/>
    <hyperlink ref="C44" r:id="rId87" tooltip="Luzerne County, Pennsylvania" display="https://en.wikipedia.org/wiki/Luzerne_County,_Pennsylvania" xr:uid="{00000000-0004-0000-0500-000056000000}"/>
    <hyperlink ref="B45" r:id="rId88" tooltip="Pottsville, Pennsylvania" display="https://en.wikipedia.org/wiki/Pottsville,_Pennsylvania" xr:uid="{00000000-0004-0000-0500-000057000000}"/>
    <hyperlink ref="C45" r:id="rId89" tooltip="Schuylkill County, Pennsylvania" display="https://en.wikipedia.org/wiki/Schuylkill_County,_Pennsylvania" xr:uid="{00000000-0004-0000-0500-000058000000}"/>
    <hyperlink ref="B46" r:id="rId90" tooltip="Reading, Pennsylvania" display="https://en.wikipedia.org/wiki/Reading,_Pennsylvania" xr:uid="{00000000-0004-0000-0500-000059000000}"/>
    <hyperlink ref="C46" r:id="rId91" tooltip="Berks County, Pennsylvania" display="https://en.wikipedia.org/wiki/Berks_County,_Pennsylvania" xr:uid="{00000000-0004-0000-0500-00005A000000}"/>
    <hyperlink ref="B47" r:id="rId92" tooltip="Scranton, Pennsylvania" display="https://en.wikipedia.org/wiki/Scranton,_Pennsylvania" xr:uid="{00000000-0004-0000-0500-00005B000000}"/>
    <hyperlink ref="C47" r:id="rId93" tooltip="Lackawanna County, Pennsylvania" display="https://en.wikipedia.org/wiki/Lackawanna_County,_Pennsylvania" xr:uid="{00000000-0004-0000-0500-00005C000000}"/>
    <hyperlink ref="B48" r:id="rId94" tooltip="Shamokin, Pennsylvania" display="https://en.wikipedia.org/wiki/Shamokin,_Pennsylvania" xr:uid="{00000000-0004-0000-0500-00005D000000}"/>
    <hyperlink ref="C48" r:id="rId95" tooltip="Northumberland County, Pennsylvania" display="https://en.wikipedia.org/wiki/Northumberland_County,_Pennsylvania" xr:uid="{00000000-0004-0000-0500-00005E000000}"/>
    <hyperlink ref="B49" r:id="rId96" tooltip="Sharon, Pennsylvania" display="https://en.wikipedia.org/wiki/Sharon,_Pennsylvania" xr:uid="{00000000-0004-0000-0500-00005F000000}"/>
    <hyperlink ref="C49" r:id="rId97" tooltip="Mercer County, Pennsylvania" display="https://en.wikipedia.org/wiki/Mercer_County,_Pennsylvania" xr:uid="{00000000-0004-0000-0500-000060000000}"/>
    <hyperlink ref="B50" r:id="rId98" tooltip="St. Marys, Pennsylvania" display="https://en.wikipedia.org/wiki/St._Marys,_Pennsylvania" xr:uid="{00000000-0004-0000-0500-000061000000}"/>
    <hyperlink ref="C50" r:id="rId99" tooltip="Elk County, Pennsylvania" display="https://en.wikipedia.org/wiki/Elk_County,_Pennsylvania" xr:uid="{00000000-0004-0000-0500-000062000000}"/>
    <hyperlink ref="B51" r:id="rId100" tooltip="Sunbury, Pennsylvania" display="https://en.wikipedia.org/wiki/Sunbury,_Pennsylvania" xr:uid="{00000000-0004-0000-0500-000063000000}"/>
    <hyperlink ref="C51" r:id="rId101" tooltip="Northumberland County, Pennsylvania" display="https://en.wikipedia.org/wiki/Northumberland_County,_Pennsylvania" xr:uid="{00000000-0004-0000-0500-000064000000}"/>
    <hyperlink ref="B52" r:id="rId102" tooltip="Titusville, Pennsylvania" display="https://en.wikipedia.org/wiki/Titusville,_Pennsylvania" xr:uid="{00000000-0004-0000-0500-000065000000}"/>
    <hyperlink ref="C52" r:id="rId103" tooltip="Crawford County, Pennsylvania" display="https://en.wikipedia.org/wiki/Crawford_County,_Pennsylvania" xr:uid="{00000000-0004-0000-0500-000066000000}"/>
    <hyperlink ref="B53" r:id="rId104" tooltip="Uniontown, Pennsylvania" display="https://en.wikipedia.org/wiki/Uniontown,_Pennsylvania" xr:uid="{00000000-0004-0000-0500-000067000000}"/>
    <hyperlink ref="C53" r:id="rId105" tooltip="Fayette County, Pennsylvania" display="https://en.wikipedia.org/wiki/Fayette_County,_Pennsylvania" xr:uid="{00000000-0004-0000-0500-000068000000}"/>
    <hyperlink ref="B54" r:id="rId106" tooltip="Warren, Pennsylvania" display="https://en.wikipedia.org/wiki/Warren,_Pennsylvania" xr:uid="{00000000-0004-0000-0500-000069000000}"/>
    <hyperlink ref="C54" r:id="rId107" tooltip="Warren County, Pennsylvania" display="https://en.wikipedia.org/wiki/Warren_County,_Pennsylvania" xr:uid="{00000000-0004-0000-0500-00006A000000}"/>
    <hyperlink ref="B55" r:id="rId108" tooltip="Washington, Pennsylvania" display="https://en.wikipedia.org/wiki/Washington,_Pennsylvania" xr:uid="{00000000-0004-0000-0500-00006B000000}"/>
    <hyperlink ref="C55" r:id="rId109" tooltip="Washington County, Pennsylvania" display="https://en.wikipedia.org/wiki/Washington_County,_Pennsylvania" xr:uid="{00000000-0004-0000-0500-00006C000000}"/>
    <hyperlink ref="B56" r:id="rId110" tooltip="Wilkes-Barre, Pennsylvania" display="https://en.wikipedia.org/wiki/Wilkes-Barre,_Pennsylvania" xr:uid="{00000000-0004-0000-0500-00006D000000}"/>
    <hyperlink ref="C56" r:id="rId111" tooltip="Luzerne County, Pennsylvania" display="https://en.wikipedia.org/wiki/Luzerne_County,_Pennsylvania" xr:uid="{00000000-0004-0000-0500-00006E000000}"/>
    <hyperlink ref="B57" r:id="rId112" tooltip="Williamsport, Pennsylvania" display="https://en.wikipedia.org/wiki/Williamsport,_Pennsylvania" xr:uid="{00000000-0004-0000-0500-00006F000000}"/>
    <hyperlink ref="C57" r:id="rId113" tooltip="Lycoming County, Pennsylvania" display="https://en.wikipedia.org/wiki/Lycoming_County,_Pennsylvania" xr:uid="{00000000-0004-0000-0500-000070000000}"/>
    <hyperlink ref="B58" r:id="rId114" tooltip="York, Pennsylvania" display="https://en.wikipedia.org/wiki/York,_Pennsylvania" xr:uid="{00000000-0004-0000-0500-000071000000}"/>
    <hyperlink ref="C58" r:id="rId115" tooltip="York County, Pennsylvania" display="https://en.wikipedia.org/wiki/York_County,_Pennsylvania" xr:uid="{00000000-0004-0000-0500-000072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G27"/>
  <sheetViews>
    <sheetView workbookViewId="0">
      <selection activeCell="M4" sqref="M4"/>
    </sheetView>
  </sheetViews>
  <sheetFormatPr defaultColWidth="4.5703125" defaultRowHeight="15" x14ac:dyDescent="0.25"/>
  <cols>
    <col min="1" max="1" width="7.5703125" customWidth="1"/>
    <col min="2" max="2" width="6.140625" customWidth="1"/>
    <col min="3" max="28" width="7.28515625" customWidth="1"/>
    <col min="29" max="29" width="4.5703125" customWidth="1"/>
    <col min="42" max="42" width="6.5703125" customWidth="1"/>
    <col min="43" max="43" width="5.7109375" customWidth="1"/>
  </cols>
  <sheetData>
    <row r="1" spans="1:85" x14ac:dyDescent="0.25">
      <c r="A1" t="s">
        <v>52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  <c r="X1" t="s">
        <v>47</v>
      </c>
      <c r="Y1" t="s">
        <v>48</v>
      </c>
      <c r="Z1" t="s">
        <v>49</v>
      </c>
      <c r="AA1" t="s">
        <v>50</v>
      </c>
      <c r="AB1" t="s">
        <v>51</v>
      </c>
      <c r="AC1" t="s">
        <v>154</v>
      </c>
      <c r="AD1" t="s">
        <v>155</v>
      </c>
      <c r="AE1" t="s">
        <v>156</v>
      </c>
      <c r="AF1" t="s">
        <v>157</v>
      </c>
      <c r="AG1" t="s">
        <v>158</v>
      </c>
      <c r="AH1" t="s">
        <v>159</v>
      </c>
      <c r="AI1" t="s">
        <v>160</v>
      </c>
      <c r="AJ1" t="s">
        <v>161</v>
      </c>
      <c r="AK1" t="s">
        <v>162</v>
      </c>
      <c r="AL1" t="s">
        <v>163</v>
      </c>
      <c r="AM1" t="s">
        <v>164</v>
      </c>
      <c r="AN1" t="s">
        <v>165</v>
      </c>
      <c r="AO1" t="s">
        <v>166</v>
      </c>
      <c r="AP1" t="s">
        <v>167</v>
      </c>
      <c r="AQ1" t="s">
        <v>168</v>
      </c>
      <c r="AR1" t="s">
        <v>169</v>
      </c>
      <c r="AS1" t="s">
        <v>170</v>
      </c>
      <c r="AT1" t="s">
        <v>171</v>
      </c>
      <c r="AU1" t="s">
        <v>172</v>
      </c>
      <c r="AV1" t="s">
        <v>173</v>
      </c>
      <c r="AW1" t="s">
        <v>174</v>
      </c>
      <c r="AX1" t="s">
        <v>175</v>
      </c>
      <c r="AY1" t="s">
        <v>176</v>
      </c>
      <c r="AZ1" t="s">
        <v>177</v>
      </c>
      <c r="BA1" t="s">
        <v>178</v>
      </c>
      <c r="BB1" t="s">
        <v>179</v>
      </c>
      <c r="BC1" t="s">
        <v>180</v>
      </c>
      <c r="BD1" t="s">
        <v>181</v>
      </c>
      <c r="BE1" t="s">
        <v>182</v>
      </c>
      <c r="BF1" t="s">
        <v>183</v>
      </c>
      <c r="BG1" t="s">
        <v>184</v>
      </c>
      <c r="BH1" t="s">
        <v>185</v>
      </c>
      <c r="BI1" t="s">
        <v>186</v>
      </c>
      <c r="BJ1" t="s">
        <v>187</v>
      </c>
      <c r="BK1" t="s">
        <v>188</v>
      </c>
      <c r="BL1" t="s">
        <v>189</v>
      </c>
      <c r="BM1" t="s">
        <v>190</v>
      </c>
      <c r="BN1" t="s">
        <v>191</v>
      </c>
      <c r="BO1" t="s">
        <v>192</v>
      </c>
      <c r="BP1" t="s">
        <v>193</v>
      </c>
      <c r="BQ1" t="s">
        <v>194</v>
      </c>
      <c r="BR1" t="s">
        <v>195</v>
      </c>
      <c r="BS1" t="s">
        <v>196</v>
      </c>
      <c r="BT1" t="s">
        <v>197</v>
      </c>
      <c r="BU1" t="s">
        <v>198</v>
      </c>
      <c r="BV1" t="s">
        <v>199</v>
      </c>
      <c r="BW1" t="s">
        <v>200</v>
      </c>
      <c r="BX1" t="s">
        <v>201</v>
      </c>
      <c r="BY1" t="s">
        <v>202</v>
      </c>
      <c r="BZ1" t="s">
        <v>203</v>
      </c>
      <c r="CA1" t="s">
        <v>204</v>
      </c>
      <c r="CB1" t="s">
        <v>205</v>
      </c>
      <c r="CC1" t="s">
        <v>206</v>
      </c>
      <c r="CD1" t="s">
        <v>207</v>
      </c>
      <c r="CE1" t="s">
        <v>208</v>
      </c>
      <c r="CF1" t="s">
        <v>209</v>
      </c>
    </row>
    <row r="2" spans="1:85" x14ac:dyDescent="0.25">
      <c r="A2" t="s">
        <v>0</v>
      </c>
      <c r="C2" s="2">
        <v>20</v>
      </c>
      <c r="D2" s="2">
        <v>19</v>
      </c>
      <c r="E2" s="2">
        <v>12</v>
      </c>
      <c r="F2" s="2">
        <v>11</v>
      </c>
      <c r="G2" s="2">
        <v>23</v>
      </c>
      <c r="H2" s="2">
        <v>18</v>
      </c>
      <c r="I2" s="2">
        <v>25</v>
      </c>
      <c r="J2" s="2">
        <v>20</v>
      </c>
      <c r="K2" s="2">
        <v>5</v>
      </c>
      <c r="L2" s="2">
        <v>3</v>
      </c>
      <c r="M2">
        <v>16</v>
      </c>
      <c r="N2">
        <v>15</v>
      </c>
      <c r="O2">
        <v>1</v>
      </c>
      <c r="P2">
        <v>8</v>
      </c>
      <c r="Q2">
        <v>2</v>
      </c>
      <c r="R2">
        <v>1</v>
      </c>
      <c r="S2">
        <v>1</v>
      </c>
      <c r="T2">
        <v>18</v>
      </c>
      <c r="U2">
        <v>21</v>
      </c>
      <c r="V2">
        <v>11</v>
      </c>
      <c r="W2">
        <v>24</v>
      </c>
      <c r="X2">
        <v>20</v>
      </c>
      <c r="Y2">
        <v>3</v>
      </c>
      <c r="Z2">
        <v>6</v>
      </c>
      <c r="AA2">
        <v>17</v>
      </c>
      <c r="AB2">
        <v>24</v>
      </c>
      <c r="AC2">
        <v>11</v>
      </c>
      <c r="AD2">
        <v>9</v>
      </c>
      <c r="AE2">
        <v>16</v>
      </c>
      <c r="AF2">
        <v>2</v>
      </c>
      <c r="AG2">
        <v>15</v>
      </c>
      <c r="AH2">
        <v>22</v>
      </c>
      <c r="AI2">
        <v>26</v>
      </c>
      <c r="AJ2">
        <v>21</v>
      </c>
      <c r="AK2">
        <v>14</v>
      </c>
      <c r="AL2">
        <v>11</v>
      </c>
      <c r="AM2">
        <v>7</v>
      </c>
      <c r="AN2">
        <v>20</v>
      </c>
      <c r="AO2">
        <v>6</v>
      </c>
      <c r="AP2">
        <v>24</v>
      </c>
      <c r="AQ2">
        <v>21</v>
      </c>
      <c r="AR2">
        <v>25</v>
      </c>
      <c r="AS2">
        <v>17</v>
      </c>
      <c r="AT2">
        <v>16</v>
      </c>
      <c r="AU2">
        <v>10</v>
      </c>
      <c r="AV2">
        <v>22</v>
      </c>
      <c r="AW2">
        <v>22</v>
      </c>
      <c r="AX2">
        <v>13</v>
      </c>
      <c r="AY2">
        <v>12</v>
      </c>
      <c r="AZ2">
        <v>19</v>
      </c>
      <c r="BA2">
        <v>19</v>
      </c>
      <c r="BB2">
        <v>16</v>
      </c>
      <c r="BC2">
        <v>21</v>
      </c>
      <c r="BD2">
        <v>25</v>
      </c>
      <c r="BE2">
        <v>25</v>
      </c>
      <c r="BF2">
        <v>21</v>
      </c>
      <c r="BG2">
        <v>24</v>
      </c>
      <c r="BH2">
        <v>19</v>
      </c>
      <c r="BI2">
        <v>21</v>
      </c>
      <c r="BJ2">
        <v>18</v>
      </c>
      <c r="BK2">
        <v>7</v>
      </c>
      <c r="BL2">
        <v>26</v>
      </c>
      <c r="BM2">
        <v>7</v>
      </c>
      <c r="BN2">
        <v>6</v>
      </c>
      <c r="BO2">
        <v>1</v>
      </c>
      <c r="BP2">
        <v>10</v>
      </c>
      <c r="BQ2">
        <v>22</v>
      </c>
      <c r="BR2">
        <v>2</v>
      </c>
      <c r="BS2">
        <v>14</v>
      </c>
      <c r="BT2">
        <v>13</v>
      </c>
      <c r="BU2">
        <v>20</v>
      </c>
      <c r="BV2">
        <v>20</v>
      </c>
      <c r="BW2">
        <v>11</v>
      </c>
      <c r="BX2">
        <v>23</v>
      </c>
      <c r="BY2">
        <v>25</v>
      </c>
      <c r="BZ2">
        <v>10</v>
      </c>
      <c r="CA2">
        <v>15</v>
      </c>
      <c r="CB2">
        <v>25</v>
      </c>
      <c r="CC2">
        <v>2</v>
      </c>
      <c r="CD2">
        <v>22</v>
      </c>
      <c r="CE2">
        <v>6</v>
      </c>
      <c r="CF2">
        <v>15</v>
      </c>
      <c r="CG2">
        <f ca="1">RANDBETWEEN(1,26)</f>
        <v>7</v>
      </c>
    </row>
    <row r="3" spans="1:85" x14ac:dyDescent="0.25">
      <c r="A3" t="s">
        <v>1</v>
      </c>
      <c r="C3" s="2">
        <v>15</v>
      </c>
      <c r="D3" s="2">
        <v>3</v>
      </c>
      <c r="E3" s="2">
        <v>5</v>
      </c>
      <c r="F3" s="2">
        <v>26</v>
      </c>
      <c r="G3" s="2">
        <v>8</v>
      </c>
      <c r="H3" s="2">
        <v>5</v>
      </c>
      <c r="I3" s="2">
        <v>4</v>
      </c>
      <c r="J3" s="2">
        <v>7</v>
      </c>
      <c r="K3" s="2">
        <v>17</v>
      </c>
      <c r="L3" s="2">
        <v>2</v>
      </c>
      <c r="M3">
        <v>16</v>
      </c>
      <c r="N3">
        <v>25</v>
      </c>
      <c r="O3">
        <v>25</v>
      </c>
      <c r="P3">
        <v>21</v>
      </c>
      <c r="Q3">
        <v>18</v>
      </c>
      <c r="R3">
        <v>24</v>
      </c>
      <c r="S3">
        <v>24</v>
      </c>
      <c r="T3">
        <v>6</v>
      </c>
      <c r="U3">
        <v>2</v>
      </c>
      <c r="V3">
        <v>15</v>
      </c>
      <c r="W3">
        <v>19</v>
      </c>
      <c r="X3">
        <v>9</v>
      </c>
      <c r="Y3">
        <v>7</v>
      </c>
      <c r="Z3">
        <v>23</v>
      </c>
      <c r="AA3">
        <v>3</v>
      </c>
      <c r="AB3">
        <v>19</v>
      </c>
      <c r="AC3">
        <v>4</v>
      </c>
      <c r="AD3">
        <v>26</v>
      </c>
      <c r="AE3">
        <v>12</v>
      </c>
      <c r="AF3">
        <v>5</v>
      </c>
      <c r="AG3">
        <v>6</v>
      </c>
      <c r="AH3">
        <v>13</v>
      </c>
      <c r="AI3">
        <v>18</v>
      </c>
      <c r="AJ3">
        <v>26</v>
      </c>
      <c r="AK3">
        <v>17</v>
      </c>
      <c r="AL3">
        <v>13</v>
      </c>
      <c r="AM3">
        <v>26</v>
      </c>
      <c r="AN3">
        <v>3</v>
      </c>
      <c r="AO3">
        <v>5</v>
      </c>
      <c r="AP3">
        <v>9</v>
      </c>
      <c r="AQ3">
        <v>6</v>
      </c>
      <c r="AR3">
        <v>2</v>
      </c>
      <c r="AS3">
        <v>23</v>
      </c>
      <c r="AT3">
        <v>6</v>
      </c>
      <c r="AU3">
        <v>19</v>
      </c>
      <c r="AV3">
        <v>9</v>
      </c>
      <c r="AW3">
        <v>15</v>
      </c>
      <c r="AX3">
        <v>24</v>
      </c>
      <c r="AY3">
        <v>16</v>
      </c>
      <c r="AZ3">
        <v>13</v>
      </c>
      <c r="BA3">
        <v>4</v>
      </c>
      <c r="BB3">
        <v>26</v>
      </c>
      <c r="BC3">
        <v>25</v>
      </c>
      <c r="BD3">
        <v>10</v>
      </c>
      <c r="BE3">
        <v>9</v>
      </c>
      <c r="BF3">
        <v>16</v>
      </c>
      <c r="BG3">
        <v>2</v>
      </c>
      <c r="BH3">
        <v>8</v>
      </c>
      <c r="BI3">
        <v>10</v>
      </c>
      <c r="BJ3">
        <v>12</v>
      </c>
      <c r="BK3">
        <v>26</v>
      </c>
      <c r="BL3">
        <v>15</v>
      </c>
      <c r="BM3">
        <v>2</v>
      </c>
      <c r="BN3">
        <v>8</v>
      </c>
      <c r="BO3">
        <v>7</v>
      </c>
      <c r="BP3">
        <v>13</v>
      </c>
      <c r="BQ3">
        <v>1</v>
      </c>
      <c r="BR3">
        <v>15</v>
      </c>
      <c r="BS3">
        <v>20</v>
      </c>
      <c r="BT3">
        <v>19</v>
      </c>
      <c r="BU3">
        <v>1</v>
      </c>
      <c r="BV3">
        <v>12</v>
      </c>
      <c r="BW3">
        <v>17</v>
      </c>
      <c r="BX3">
        <v>3</v>
      </c>
      <c r="BY3">
        <v>7</v>
      </c>
      <c r="BZ3">
        <v>1</v>
      </c>
      <c r="CA3">
        <v>17</v>
      </c>
      <c r="CB3">
        <v>6</v>
      </c>
      <c r="CC3">
        <v>19</v>
      </c>
      <c r="CD3">
        <v>1</v>
      </c>
      <c r="CE3">
        <v>17</v>
      </c>
      <c r="CF3">
        <v>8</v>
      </c>
      <c r="CG3">
        <f ca="1">RANDBETWEEN(1,26)</f>
        <v>21</v>
      </c>
    </row>
    <row r="4" spans="1:85" x14ac:dyDescent="0.25">
      <c r="A4" t="s">
        <v>2</v>
      </c>
      <c r="B4" s="1"/>
      <c r="C4" s="2">
        <v>2</v>
      </c>
      <c r="D4" s="2">
        <v>1</v>
      </c>
      <c r="E4" s="2">
        <v>4</v>
      </c>
      <c r="F4" s="2">
        <v>6</v>
      </c>
      <c r="G4" s="2">
        <v>7</v>
      </c>
      <c r="H4" s="2">
        <v>23</v>
      </c>
      <c r="I4" s="2">
        <v>10</v>
      </c>
      <c r="J4" s="2">
        <v>14</v>
      </c>
      <c r="K4" s="2">
        <v>12</v>
      </c>
      <c r="L4" s="2">
        <v>17</v>
      </c>
      <c r="M4" s="1">
        <v>10</v>
      </c>
      <c r="N4">
        <v>23</v>
      </c>
      <c r="O4">
        <v>11</v>
      </c>
      <c r="P4">
        <v>8</v>
      </c>
      <c r="Q4">
        <v>26</v>
      </c>
      <c r="R4">
        <v>25</v>
      </c>
      <c r="S4">
        <v>11</v>
      </c>
      <c r="T4">
        <v>21</v>
      </c>
      <c r="U4">
        <v>14</v>
      </c>
      <c r="V4" s="1">
        <v>10</v>
      </c>
      <c r="W4">
        <v>21</v>
      </c>
      <c r="X4">
        <v>11</v>
      </c>
      <c r="Y4">
        <v>5</v>
      </c>
      <c r="Z4">
        <v>21</v>
      </c>
      <c r="AA4">
        <v>2</v>
      </c>
      <c r="AB4">
        <v>24</v>
      </c>
      <c r="AC4">
        <v>21</v>
      </c>
      <c r="AD4">
        <v>23</v>
      </c>
      <c r="AE4">
        <v>20</v>
      </c>
      <c r="AF4">
        <v>15</v>
      </c>
      <c r="AG4">
        <v>16</v>
      </c>
      <c r="AH4">
        <v>25</v>
      </c>
      <c r="AI4">
        <v>25</v>
      </c>
      <c r="AJ4">
        <v>17</v>
      </c>
      <c r="AK4">
        <v>1</v>
      </c>
      <c r="AL4">
        <v>9</v>
      </c>
      <c r="AM4">
        <v>22</v>
      </c>
      <c r="AN4">
        <v>3</v>
      </c>
      <c r="AO4">
        <v>6</v>
      </c>
      <c r="AP4">
        <v>22</v>
      </c>
      <c r="AQ4">
        <v>24</v>
      </c>
      <c r="AR4">
        <v>1</v>
      </c>
      <c r="AS4">
        <v>17</v>
      </c>
      <c r="AT4">
        <v>14</v>
      </c>
      <c r="AU4">
        <v>4</v>
      </c>
      <c r="AV4">
        <v>5</v>
      </c>
      <c r="AW4">
        <v>25</v>
      </c>
      <c r="AX4">
        <v>12</v>
      </c>
      <c r="AY4">
        <v>20</v>
      </c>
      <c r="AZ4">
        <v>3</v>
      </c>
      <c r="BA4">
        <v>18</v>
      </c>
      <c r="BB4">
        <v>13</v>
      </c>
      <c r="BC4">
        <v>6</v>
      </c>
      <c r="BD4">
        <v>18</v>
      </c>
      <c r="BE4">
        <v>14</v>
      </c>
      <c r="BF4">
        <v>13</v>
      </c>
      <c r="BG4">
        <v>9</v>
      </c>
      <c r="BH4">
        <v>25</v>
      </c>
      <c r="BI4">
        <v>12</v>
      </c>
      <c r="BJ4">
        <v>9</v>
      </c>
      <c r="BK4">
        <v>22</v>
      </c>
      <c r="BL4">
        <v>22</v>
      </c>
      <c r="BM4">
        <v>20</v>
      </c>
      <c r="BN4">
        <v>21</v>
      </c>
      <c r="BO4">
        <v>8</v>
      </c>
      <c r="BP4">
        <v>25</v>
      </c>
      <c r="BQ4">
        <v>17</v>
      </c>
      <c r="BR4">
        <v>8</v>
      </c>
      <c r="BS4">
        <v>26</v>
      </c>
      <c r="BT4">
        <v>14</v>
      </c>
      <c r="BU4">
        <v>1</v>
      </c>
      <c r="BV4">
        <v>12</v>
      </c>
      <c r="BW4">
        <v>4</v>
      </c>
      <c r="BX4">
        <v>9</v>
      </c>
      <c r="BY4">
        <v>18</v>
      </c>
      <c r="BZ4">
        <v>9</v>
      </c>
      <c r="CA4">
        <v>12</v>
      </c>
      <c r="CB4">
        <v>14</v>
      </c>
      <c r="CC4">
        <v>19</v>
      </c>
      <c r="CD4">
        <v>15</v>
      </c>
      <c r="CE4">
        <v>23</v>
      </c>
      <c r="CF4">
        <v>15</v>
      </c>
      <c r="CG4">
        <f ca="1">RANDBETWEEN(1,26)</f>
        <v>11</v>
      </c>
    </row>
    <row r="5" spans="1:85" x14ac:dyDescent="0.25">
      <c r="A5" t="s">
        <v>3</v>
      </c>
      <c r="C5" s="2">
        <v>25</v>
      </c>
      <c r="D5" s="2">
        <v>23</v>
      </c>
      <c r="E5" s="2">
        <v>15</v>
      </c>
      <c r="F5" s="2">
        <v>6</v>
      </c>
      <c r="G5" s="2">
        <v>21</v>
      </c>
      <c r="H5" s="2">
        <v>14</v>
      </c>
      <c r="I5" s="2">
        <v>7</v>
      </c>
      <c r="J5" s="2">
        <v>23</v>
      </c>
      <c r="K5" s="2">
        <v>25</v>
      </c>
      <c r="L5" s="2">
        <v>5</v>
      </c>
      <c r="M5">
        <v>21</v>
      </c>
      <c r="N5">
        <v>7</v>
      </c>
      <c r="O5">
        <v>1</v>
      </c>
      <c r="P5">
        <v>6</v>
      </c>
      <c r="Q5">
        <v>4</v>
      </c>
      <c r="R5">
        <v>25</v>
      </c>
      <c r="S5">
        <v>9</v>
      </c>
      <c r="T5">
        <v>13</v>
      </c>
      <c r="U5">
        <v>25</v>
      </c>
      <c r="V5">
        <v>6</v>
      </c>
      <c r="W5">
        <v>1</v>
      </c>
      <c r="X5">
        <v>23</v>
      </c>
      <c r="Y5">
        <v>5</v>
      </c>
      <c r="Z5">
        <v>16</v>
      </c>
      <c r="AA5">
        <v>6</v>
      </c>
      <c r="AB5">
        <v>6</v>
      </c>
      <c r="AC5">
        <v>13</v>
      </c>
      <c r="AD5">
        <v>9</v>
      </c>
      <c r="AE5">
        <v>8</v>
      </c>
      <c r="AF5">
        <v>7</v>
      </c>
      <c r="AG5">
        <v>22</v>
      </c>
      <c r="AH5">
        <v>11</v>
      </c>
      <c r="AI5">
        <v>6</v>
      </c>
      <c r="AJ5">
        <v>17</v>
      </c>
      <c r="AK5">
        <v>26</v>
      </c>
      <c r="AL5">
        <v>5</v>
      </c>
      <c r="AM5">
        <v>16</v>
      </c>
      <c r="AN5">
        <v>4</v>
      </c>
      <c r="AO5">
        <v>11</v>
      </c>
      <c r="AP5">
        <v>10</v>
      </c>
      <c r="AQ5">
        <v>8</v>
      </c>
      <c r="AR5">
        <v>15</v>
      </c>
      <c r="AS5">
        <v>18</v>
      </c>
      <c r="AT5">
        <v>3</v>
      </c>
      <c r="AU5">
        <v>15</v>
      </c>
      <c r="AV5">
        <v>12</v>
      </c>
      <c r="AW5">
        <v>1</v>
      </c>
      <c r="AX5">
        <v>20</v>
      </c>
      <c r="AY5">
        <v>4</v>
      </c>
      <c r="AZ5">
        <v>6</v>
      </c>
      <c r="BA5">
        <v>14</v>
      </c>
      <c r="BB5">
        <v>10</v>
      </c>
      <c r="BC5">
        <v>5</v>
      </c>
      <c r="BD5">
        <v>13</v>
      </c>
      <c r="BE5">
        <v>7</v>
      </c>
      <c r="BF5">
        <v>10</v>
      </c>
      <c r="BG5">
        <v>6</v>
      </c>
      <c r="BH5">
        <v>21</v>
      </c>
      <c r="BI5">
        <v>6</v>
      </c>
      <c r="BJ5">
        <v>17</v>
      </c>
      <c r="BK5">
        <v>6</v>
      </c>
      <c r="BL5">
        <v>25</v>
      </c>
      <c r="BM5">
        <v>19</v>
      </c>
      <c r="BN5">
        <v>3</v>
      </c>
      <c r="BO5">
        <v>17</v>
      </c>
      <c r="BP5">
        <v>3</v>
      </c>
      <c r="BQ5">
        <v>25</v>
      </c>
      <c r="BR5">
        <v>11</v>
      </c>
      <c r="BS5">
        <v>22</v>
      </c>
      <c r="BT5">
        <v>15</v>
      </c>
      <c r="BU5">
        <v>14</v>
      </c>
      <c r="BV5">
        <v>5</v>
      </c>
      <c r="BW5">
        <v>4</v>
      </c>
      <c r="BX5">
        <v>11</v>
      </c>
      <c r="BY5">
        <v>21</v>
      </c>
      <c r="BZ5">
        <v>25</v>
      </c>
      <c r="CA5">
        <v>13</v>
      </c>
      <c r="CB5">
        <v>10</v>
      </c>
      <c r="CC5">
        <v>22</v>
      </c>
      <c r="CD5">
        <v>9</v>
      </c>
      <c r="CE5">
        <v>17</v>
      </c>
      <c r="CF5">
        <v>1</v>
      </c>
      <c r="CG5">
        <f ca="1">RANDBETWEEN(1,26)</f>
        <v>7</v>
      </c>
    </row>
    <row r="6" spans="1:85" x14ac:dyDescent="0.25">
      <c r="A6" t="s">
        <v>4</v>
      </c>
      <c r="B6" s="1"/>
      <c r="C6" s="2">
        <v>10</v>
      </c>
      <c r="D6" s="2">
        <v>23</v>
      </c>
      <c r="E6" s="2">
        <v>21</v>
      </c>
      <c r="F6" s="2">
        <v>8</v>
      </c>
      <c r="G6" s="2">
        <v>9</v>
      </c>
      <c r="H6" s="2">
        <v>8</v>
      </c>
      <c r="I6" s="2">
        <v>14</v>
      </c>
      <c r="J6" s="2">
        <v>19</v>
      </c>
      <c r="K6" s="2">
        <v>3</v>
      </c>
      <c r="L6" s="2">
        <v>4</v>
      </c>
      <c r="M6">
        <v>4</v>
      </c>
      <c r="N6">
        <v>23</v>
      </c>
      <c r="O6">
        <v>18</v>
      </c>
      <c r="P6">
        <v>8</v>
      </c>
      <c r="Q6" s="1">
        <v>10</v>
      </c>
      <c r="R6">
        <v>3</v>
      </c>
      <c r="S6">
        <v>21</v>
      </c>
      <c r="T6">
        <v>22</v>
      </c>
      <c r="U6">
        <v>6</v>
      </c>
      <c r="V6">
        <v>15</v>
      </c>
      <c r="W6">
        <v>7</v>
      </c>
      <c r="X6">
        <v>6</v>
      </c>
      <c r="Y6">
        <v>1</v>
      </c>
      <c r="Z6">
        <v>5</v>
      </c>
      <c r="AA6">
        <v>16</v>
      </c>
      <c r="AB6" s="1">
        <v>10</v>
      </c>
      <c r="AC6">
        <v>19</v>
      </c>
      <c r="AD6">
        <v>4</v>
      </c>
      <c r="AE6">
        <v>2</v>
      </c>
      <c r="AF6">
        <v>4</v>
      </c>
      <c r="AG6">
        <v>9</v>
      </c>
      <c r="AH6">
        <v>9</v>
      </c>
      <c r="AI6">
        <v>2</v>
      </c>
      <c r="AJ6">
        <v>11</v>
      </c>
      <c r="AK6">
        <v>6</v>
      </c>
      <c r="AL6">
        <v>12</v>
      </c>
      <c r="AM6">
        <v>6</v>
      </c>
      <c r="AN6">
        <v>25</v>
      </c>
      <c r="AO6">
        <v>11</v>
      </c>
      <c r="AP6">
        <v>22</v>
      </c>
      <c r="AQ6">
        <v>5</v>
      </c>
      <c r="AR6">
        <v>25</v>
      </c>
      <c r="AS6">
        <v>24</v>
      </c>
      <c r="AT6">
        <v>19</v>
      </c>
      <c r="AU6">
        <v>11</v>
      </c>
      <c r="AV6">
        <v>20</v>
      </c>
      <c r="AW6">
        <v>10</v>
      </c>
      <c r="AX6">
        <v>19</v>
      </c>
      <c r="AY6">
        <v>15</v>
      </c>
      <c r="AZ6">
        <v>15</v>
      </c>
      <c r="BA6">
        <v>17</v>
      </c>
      <c r="BB6">
        <v>18</v>
      </c>
      <c r="BC6">
        <v>17</v>
      </c>
      <c r="BD6">
        <v>19</v>
      </c>
      <c r="BE6">
        <v>15</v>
      </c>
      <c r="BF6">
        <v>6</v>
      </c>
      <c r="BG6">
        <v>19</v>
      </c>
      <c r="BH6">
        <v>6</v>
      </c>
      <c r="BI6">
        <v>10</v>
      </c>
      <c r="BJ6">
        <v>3</v>
      </c>
      <c r="BK6">
        <v>25</v>
      </c>
      <c r="BL6">
        <v>19</v>
      </c>
      <c r="BM6">
        <v>11</v>
      </c>
      <c r="BN6">
        <v>8</v>
      </c>
      <c r="BO6">
        <v>21</v>
      </c>
      <c r="BP6">
        <v>19</v>
      </c>
      <c r="BQ6">
        <v>12</v>
      </c>
      <c r="BR6">
        <v>12</v>
      </c>
      <c r="BS6">
        <v>11</v>
      </c>
      <c r="BT6">
        <v>14</v>
      </c>
      <c r="BU6">
        <v>9</v>
      </c>
      <c r="BV6">
        <v>18</v>
      </c>
      <c r="BW6">
        <v>13</v>
      </c>
      <c r="BX6">
        <v>4</v>
      </c>
      <c r="BY6">
        <v>16</v>
      </c>
      <c r="BZ6">
        <v>18</v>
      </c>
      <c r="CA6">
        <v>25</v>
      </c>
      <c r="CB6">
        <v>12</v>
      </c>
      <c r="CC6">
        <v>17</v>
      </c>
      <c r="CD6">
        <v>25</v>
      </c>
      <c r="CE6">
        <v>17</v>
      </c>
      <c r="CF6">
        <v>21</v>
      </c>
      <c r="CG6">
        <f t="shared" ref="CG6:CG15" ca="1" si="0">RANDBETWEEN(1,26)</f>
        <v>5</v>
      </c>
    </row>
    <row r="7" spans="1:85" x14ac:dyDescent="0.25">
      <c r="A7" t="s">
        <v>5</v>
      </c>
      <c r="B7" s="1"/>
      <c r="C7" s="2">
        <v>3</v>
      </c>
      <c r="D7" s="2">
        <v>18</v>
      </c>
      <c r="E7" s="2">
        <v>16</v>
      </c>
      <c r="F7" s="2">
        <v>8</v>
      </c>
      <c r="G7" s="2">
        <v>18</v>
      </c>
      <c r="H7" s="2">
        <v>1</v>
      </c>
      <c r="I7" s="2">
        <v>19</v>
      </c>
      <c r="J7" s="2">
        <v>10</v>
      </c>
      <c r="K7" s="2">
        <v>12</v>
      </c>
      <c r="L7" s="2">
        <v>13</v>
      </c>
      <c r="M7">
        <v>13</v>
      </c>
      <c r="N7">
        <v>5</v>
      </c>
      <c r="O7">
        <v>22</v>
      </c>
      <c r="P7">
        <v>16</v>
      </c>
      <c r="Q7">
        <v>12</v>
      </c>
      <c r="R7">
        <v>8</v>
      </c>
      <c r="S7">
        <v>21</v>
      </c>
      <c r="T7">
        <v>26</v>
      </c>
      <c r="U7">
        <v>9</v>
      </c>
      <c r="V7">
        <v>1</v>
      </c>
      <c r="W7">
        <v>9</v>
      </c>
      <c r="X7">
        <v>26</v>
      </c>
      <c r="Y7">
        <v>18</v>
      </c>
      <c r="Z7">
        <v>6</v>
      </c>
      <c r="AA7">
        <v>4</v>
      </c>
      <c r="AB7" s="1">
        <v>10</v>
      </c>
      <c r="AC7">
        <v>23</v>
      </c>
      <c r="AD7">
        <v>21</v>
      </c>
      <c r="AE7">
        <v>19</v>
      </c>
      <c r="AF7">
        <v>15</v>
      </c>
      <c r="AG7">
        <v>8</v>
      </c>
      <c r="AH7">
        <v>14</v>
      </c>
      <c r="AI7">
        <v>23</v>
      </c>
      <c r="AJ7">
        <v>10</v>
      </c>
      <c r="AK7">
        <v>25</v>
      </c>
      <c r="AL7">
        <v>13</v>
      </c>
      <c r="AM7">
        <v>11</v>
      </c>
      <c r="AN7">
        <v>4</v>
      </c>
      <c r="AO7">
        <v>21</v>
      </c>
      <c r="AP7">
        <v>14</v>
      </c>
      <c r="AQ7">
        <v>6</v>
      </c>
      <c r="AR7">
        <v>20</v>
      </c>
      <c r="AS7">
        <v>10</v>
      </c>
      <c r="AT7">
        <v>16</v>
      </c>
      <c r="AU7">
        <v>11</v>
      </c>
      <c r="AV7">
        <v>17</v>
      </c>
      <c r="AW7">
        <v>18</v>
      </c>
      <c r="AX7">
        <v>18</v>
      </c>
      <c r="AY7">
        <v>10</v>
      </c>
      <c r="AZ7">
        <v>7</v>
      </c>
      <c r="BA7">
        <v>18</v>
      </c>
      <c r="BB7">
        <v>2</v>
      </c>
      <c r="BC7">
        <v>23</v>
      </c>
      <c r="BD7">
        <v>26</v>
      </c>
      <c r="BE7">
        <v>22</v>
      </c>
      <c r="BF7">
        <v>2</v>
      </c>
      <c r="BG7">
        <v>5</v>
      </c>
      <c r="BH7">
        <v>23</v>
      </c>
      <c r="BI7">
        <v>8</v>
      </c>
      <c r="BJ7">
        <v>24</v>
      </c>
      <c r="BK7">
        <v>5</v>
      </c>
      <c r="BL7">
        <v>3</v>
      </c>
      <c r="BM7">
        <v>9</v>
      </c>
      <c r="BN7">
        <v>1</v>
      </c>
      <c r="BO7">
        <v>25</v>
      </c>
      <c r="BP7">
        <v>8</v>
      </c>
      <c r="BQ7">
        <v>13</v>
      </c>
      <c r="BR7">
        <v>8</v>
      </c>
      <c r="BS7">
        <v>4</v>
      </c>
      <c r="BT7">
        <v>23</v>
      </c>
      <c r="BU7">
        <v>22</v>
      </c>
      <c r="BV7">
        <v>12</v>
      </c>
      <c r="BW7">
        <v>11</v>
      </c>
      <c r="BX7">
        <v>23</v>
      </c>
      <c r="BY7">
        <v>4</v>
      </c>
      <c r="BZ7">
        <v>14</v>
      </c>
      <c r="CA7">
        <v>13</v>
      </c>
      <c r="CB7">
        <v>24</v>
      </c>
      <c r="CC7">
        <v>12</v>
      </c>
      <c r="CD7">
        <v>2</v>
      </c>
      <c r="CE7">
        <v>2</v>
      </c>
      <c r="CF7">
        <v>14</v>
      </c>
      <c r="CG7">
        <f t="shared" ca="1" si="0"/>
        <v>23</v>
      </c>
    </row>
    <row r="8" spans="1:85" x14ac:dyDescent="0.25">
      <c r="A8" t="s">
        <v>6</v>
      </c>
      <c r="C8" s="2">
        <v>7</v>
      </c>
      <c r="D8" s="2">
        <v>25</v>
      </c>
      <c r="E8" s="2">
        <v>6</v>
      </c>
      <c r="F8" s="2">
        <v>11</v>
      </c>
      <c r="G8" s="2">
        <v>24</v>
      </c>
      <c r="H8" s="2">
        <v>21</v>
      </c>
      <c r="I8" s="2">
        <v>12</v>
      </c>
      <c r="J8" s="2">
        <v>23</v>
      </c>
      <c r="K8" s="2">
        <v>1</v>
      </c>
      <c r="L8" s="2">
        <v>22</v>
      </c>
      <c r="M8">
        <v>12</v>
      </c>
      <c r="N8">
        <v>2</v>
      </c>
      <c r="O8">
        <v>16</v>
      </c>
      <c r="P8">
        <v>6</v>
      </c>
      <c r="Q8">
        <v>16</v>
      </c>
      <c r="R8">
        <v>18</v>
      </c>
      <c r="S8">
        <v>7</v>
      </c>
      <c r="T8">
        <v>4</v>
      </c>
      <c r="U8">
        <v>16</v>
      </c>
      <c r="V8">
        <v>6</v>
      </c>
      <c r="W8">
        <v>19</v>
      </c>
      <c r="X8">
        <v>16</v>
      </c>
      <c r="Y8">
        <v>2</v>
      </c>
      <c r="Z8">
        <v>23</v>
      </c>
      <c r="AA8">
        <v>7</v>
      </c>
      <c r="AB8">
        <v>12</v>
      </c>
      <c r="AC8">
        <v>14</v>
      </c>
      <c r="AD8">
        <v>18</v>
      </c>
      <c r="AE8">
        <v>22</v>
      </c>
      <c r="AF8">
        <v>14</v>
      </c>
      <c r="AG8">
        <v>15</v>
      </c>
      <c r="AH8">
        <v>4</v>
      </c>
      <c r="AI8">
        <v>19</v>
      </c>
      <c r="AJ8">
        <v>1</v>
      </c>
      <c r="AK8">
        <v>13</v>
      </c>
      <c r="AL8">
        <v>1</v>
      </c>
      <c r="AM8">
        <v>26</v>
      </c>
      <c r="AN8">
        <v>13</v>
      </c>
      <c r="AO8">
        <v>14</v>
      </c>
      <c r="AP8">
        <v>26</v>
      </c>
      <c r="AQ8">
        <v>19</v>
      </c>
      <c r="AR8">
        <v>23</v>
      </c>
      <c r="AS8">
        <v>4</v>
      </c>
      <c r="AT8">
        <v>20</v>
      </c>
      <c r="AU8">
        <v>9</v>
      </c>
      <c r="AV8">
        <v>6</v>
      </c>
      <c r="AW8">
        <v>15</v>
      </c>
      <c r="AX8">
        <v>10</v>
      </c>
      <c r="AY8">
        <v>8</v>
      </c>
      <c r="AZ8">
        <v>9</v>
      </c>
      <c r="BA8">
        <v>22</v>
      </c>
      <c r="BB8">
        <v>4</v>
      </c>
      <c r="BC8">
        <v>6</v>
      </c>
      <c r="BD8">
        <v>26</v>
      </c>
      <c r="BE8">
        <v>18</v>
      </c>
      <c r="BF8">
        <v>23</v>
      </c>
      <c r="BG8">
        <v>15</v>
      </c>
      <c r="BH8">
        <v>25</v>
      </c>
      <c r="BI8">
        <v>7</v>
      </c>
      <c r="BJ8">
        <v>8</v>
      </c>
      <c r="BK8">
        <v>18</v>
      </c>
      <c r="BL8">
        <v>9</v>
      </c>
      <c r="BM8">
        <v>12</v>
      </c>
      <c r="BN8">
        <v>23</v>
      </c>
      <c r="BO8">
        <v>12</v>
      </c>
      <c r="BP8">
        <v>5</v>
      </c>
      <c r="BQ8">
        <v>12</v>
      </c>
      <c r="BR8">
        <v>4</v>
      </c>
      <c r="BS8">
        <v>20</v>
      </c>
      <c r="BT8">
        <v>11</v>
      </c>
      <c r="BU8">
        <v>1</v>
      </c>
      <c r="BV8">
        <v>10</v>
      </c>
      <c r="BW8">
        <v>18</v>
      </c>
      <c r="BX8">
        <v>16</v>
      </c>
      <c r="BY8">
        <v>8</v>
      </c>
      <c r="BZ8">
        <v>4</v>
      </c>
      <c r="CA8">
        <v>1</v>
      </c>
      <c r="CB8">
        <v>7</v>
      </c>
      <c r="CC8">
        <v>12</v>
      </c>
      <c r="CD8">
        <v>2</v>
      </c>
      <c r="CE8">
        <v>9</v>
      </c>
      <c r="CF8">
        <v>1</v>
      </c>
      <c r="CG8">
        <f t="shared" ca="1" si="0"/>
        <v>10</v>
      </c>
    </row>
    <row r="9" spans="1:85" x14ac:dyDescent="0.25">
      <c r="A9" t="s">
        <v>7</v>
      </c>
      <c r="C9" s="2">
        <v>17</v>
      </c>
      <c r="D9" s="2">
        <v>4</v>
      </c>
      <c r="E9" s="2">
        <v>5</v>
      </c>
      <c r="F9" s="2">
        <v>13</v>
      </c>
      <c r="G9" s="2">
        <v>19</v>
      </c>
      <c r="H9" s="2">
        <v>16</v>
      </c>
      <c r="I9" s="2">
        <v>19</v>
      </c>
      <c r="J9" s="2">
        <v>21</v>
      </c>
      <c r="K9" s="2">
        <v>5</v>
      </c>
      <c r="L9" s="2">
        <v>11</v>
      </c>
      <c r="M9">
        <v>15</v>
      </c>
      <c r="N9">
        <v>22</v>
      </c>
      <c r="O9">
        <v>22</v>
      </c>
      <c r="P9">
        <v>1</v>
      </c>
      <c r="Q9" s="1">
        <v>10</v>
      </c>
      <c r="R9">
        <v>16</v>
      </c>
      <c r="S9">
        <v>4</v>
      </c>
      <c r="T9">
        <v>4</v>
      </c>
      <c r="U9">
        <v>7</v>
      </c>
      <c r="V9">
        <v>14</v>
      </c>
      <c r="W9" s="1">
        <v>10</v>
      </c>
      <c r="X9">
        <v>22</v>
      </c>
      <c r="Y9">
        <v>24</v>
      </c>
      <c r="Z9">
        <v>4</v>
      </c>
      <c r="AA9">
        <v>11</v>
      </c>
      <c r="AB9">
        <v>23</v>
      </c>
      <c r="AC9">
        <v>21</v>
      </c>
      <c r="AD9">
        <v>24</v>
      </c>
      <c r="AE9">
        <v>1</v>
      </c>
      <c r="AF9">
        <v>23</v>
      </c>
      <c r="AG9">
        <v>19</v>
      </c>
      <c r="AH9">
        <v>22</v>
      </c>
      <c r="AI9">
        <v>19</v>
      </c>
      <c r="AJ9">
        <v>8</v>
      </c>
      <c r="AK9">
        <v>4</v>
      </c>
      <c r="AL9">
        <v>2</v>
      </c>
      <c r="AM9">
        <v>19</v>
      </c>
      <c r="AN9">
        <v>26</v>
      </c>
      <c r="AO9">
        <v>7</v>
      </c>
      <c r="AP9">
        <v>9</v>
      </c>
      <c r="AQ9">
        <v>1</v>
      </c>
      <c r="AR9">
        <v>23</v>
      </c>
      <c r="AS9">
        <v>2</v>
      </c>
      <c r="AT9">
        <v>23</v>
      </c>
      <c r="AU9">
        <v>12</v>
      </c>
      <c r="AV9">
        <v>11</v>
      </c>
      <c r="AW9">
        <v>21</v>
      </c>
      <c r="AX9">
        <v>25</v>
      </c>
      <c r="AY9">
        <v>20</v>
      </c>
      <c r="AZ9">
        <v>14</v>
      </c>
      <c r="BA9">
        <v>12</v>
      </c>
      <c r="BB9">
        <v>22</v>
      </c>
      <c r="BC9">
        <v>10</v>
      </c>
      <c r="BD9">
        <v>25</v>
      </c>
      <c r="BE9">
        <v>21</v>
      </c>
      <c r="BF9">
        <v>3</v>
      </c>
      <c r="BG9">
        <v>18</v>
      </c>
      <c r="BH9">
        <v>4</v>
      </c>
      <c r="BI9">
        <v>12</v>
      </c>
      <c r="BJ9">
        <v>12</v>
      </c>
      <c r="BK9">
        <v>1</v>
      </c>
      <c r="BL9">
        <v>3</v>
      </c>
      <c r="BM9">
        <v>8</v>
      </c>
      <c r="BN9">
        <v>20</v>
      </c>
      <c r="BO9">
        <v>16</v>
      </c>
      <c r="BP9">
        <v>7</v>
      </c>
      <c r="BQ9">
        <v>12</v>
      </c>
      <c r="BR9">
        <v>21</v>
      </c>
      <c r="BS9">
        <v>7</v>
      </c>
      <c r="BT9">
        <v>26</v>
      </c>
      <c r="BU9">
        <v>17</v>
      </c>
      <c r="BV9">
        <v>22</v>
      </c>
      <c r="BW9">
        <v>6</v>
      </c>
      <c r="BX9">
        <v>10</v>
      </c>
      <c r="BY9">
        <v>22</v>
      </c>
      <c r="BZ9">
        <v>4</v>
      </c>
      <c r="CA9">
        <v>17</v>
      </c>
      <c r="CB9">
        <v>12</v>
      </c>
      <c r="CC9">
        <v>21</v>
      </c>
      <c r="CD9">
        <v>14</v>
      </c>
      <c r="CE9">
        <v>14</v>
      </c>
      <c r="CF9">
        <v>11</v>
      </c>
      <c r="CG9">
        <f t="shared" ca="1" si="0"/>
        <v>8</v>
      </c>
    </row>
    <row r="10" spans="1:85" x14ac:dyDescent="0.25">
      <c r="A10" t="s">
        <v>8</v>
      </c>
      <c r="B10" s="1"/>
      <c r="C10" s="2">
        <v>11</v>
      </c>
      <c r="D10" s="2">
        <v>10</v>
      </c>
      <c r="E10" s="2">
        <v>17</v>
      </c>
      <c r="F10" s="2">
        <v>8</v>
      </c>
      <c r="G10" s="2">
        <v>24</v>
      </c>
      <c r="H10" s="2">
        <v>18</v>
      </c>
      <c r="I10" s="2">
        <v>21</v>
      </c>
      <c r="J10" s="2">
        <v>14</v>
      </c>
      <c r="K10" s="2">
        <v>11</v>
      </c>
      <c r="L10" s="2">
        <v>8</v>
      </c>
      <c r="M10">
        <v>3</v>
      </c>
      <c r="N10">
        <v>12</v>
      </c>
      <c r="O10">
        <v>17</v>
      </c>
      <c r="P10">
        <v>13</v>
      </c>
      <c r="Q10">
        <v>26</v>
      </c>
      <c r="R10">
        <v>14</v>
      </c>
      <c r="S10">
        <v>1</v>
      </c>
      <c r="T10">
        <v>14</v>
      </c>
      <c r="U10">
        <v>2</v>
      </c>
      <c r="V10">
        <v>15</v>
      </c>
      <c r="W10">
        <v>25</v>
      </c>
      <c r="X10">
        <v>24</v>
      </c>
      <c r="Y10">
        <v>6</v>
      </c>
      <c r="Z10">
        <v>23</v>
      </c>
      <c r="AA10">
        <v>12</v>
      </c>
      <c r="AB10">
        <v>5</v>
      </c>
      <c r="AC10">
        <v>10</v>
      </c>
      <c r="AD10">
        <v>10</v>
      </c>
      <c r="AE10">
        <v>22</v>
      </c>
      <c r="AF10">
        <v>1</v>
      </c>
      <c r="AG10">
        <v>17</v>
      </c>
      <c r="AH10">
        <v>6</v>
      </c>
      <c r="AI10">
        <v>22</v>
      </c>
      <c r="AJ10">
        <v>21</v>
      </c>
      <c r="AK10">
        <v>2</v>
      </c>
      <c r="AL10">
        <v>9</v>
      </c>
      <c r="AM10">
        <v>1</v>
      </c>
      <c r="AN10">
        <v>24</v>
      </c>
      <c r="AO10">
        <v>15</v>
      </c>
      <c r="AP10">
        <v>5</v>
      </c>
      <c r="AQ10">
        <v>25</v>
      </c>
      <c r="AR10">
        <v>15</v>
      </c>
      <c r="AS10">
        <v>23</v>
      </c>
      <c r="AT10">
        <v>5</v>
      </c>
      <c r="AU10">
        <v>12</v>
      </c>
      <c r="AV10">
        <v>3</v>
      </c>
      <c r="AW10">
        <v>15</v>
      </c>
      <c r="AX10">
        <v>16</v>
      </c>
      <c r="AY10">
        <v>10</v>
      </c>
      <c r="AZ10">
        <v>12</v>
      </c>
      <c r="BA10">
        <v>3</v>
      </c>
      <c r="BB10">
        <v>9</v>
      </c>
      <c r="BC10">
        <v>14</v>
      </c>
      <c r="BD10">
        <v>10</v>
      </c>
      <c r="BE10">
        <v>1</v>
      </c>
      <c r="BF10">
        <v>15</v>
      </c>
      <c r="BG10">
        <v>10</v>
      </c>
      <c r="BH10">
        <v>21</v>
      </c>
      <c r="BI10">
        <v>15</v>
      </c>
      <c r="BJ10">
        <v>19</v>
      </c>
      <c r="BK10">
        <v>14</v>
      </c>
      <c r="BL10">
        <v>17</v>
      </c>
      <c r="BM10">
        <v>13</v>
      </c>
      <c r="BN10">
        <v>13</v>
      </c>
      <c r="BO10">
        <v>7</v>
      </c>
      <c r="BP10">
        <v>6</v>
      </c>
      <c r="BQ10">
        <v>21</v>
      </c>
      <c r="BR10">
        <v>16</v>
      </c>
      <c r="BS10">
        <v>14</v>
      </c>
      <c r="BT10">
        <v>5</v>
      </c>
      <c r="BU10">
        <v>9</v>
      </c>
      <c r="BV10">
        <v>10</v>
      </c>
      <c r="BW10">
        <v>25</v>
      </c>
      <c r="BX10">
        <v>25</v>
      </c>
      <c r="BY10">
        <v>14</v>
      </c>
      <c r="BZ10">
        <v>12</v>
      </c>
      <c r="CA10">
        <v>18</v>
      </c>
      <c r="CB10">
        <v>5</v>
      </c>
      <c r="CC10">
        <v>13</v>
      </c>
      <c r="CD10">
        <v>21</v>
      </c>
      <c r="CE10">
        <v>20</v>
      </c>
      <c r="CF10">
        <v>5</v>
      </c>
      <c r="CG10">
        <f t="shared" ca="1" si="0"/>
        <v>15</v>
      </c>
    </row>
    <row r="11" spans="1:85" x14ac:dyDescent="0.25">
      <c r="A11" t="s">
        <v>9</v>
      </c>
      <c r="C11" s="2">
        <v>3</v>
      </c>
      <c r="D11" s="2">
        <v>1</v>
      </c>
      <c r="E11" s="2">
        <v>22</v>
      </c>
      <c r="F11" s="2">
        <v>14</v>
      </c>
      <c r="G11" s="2">
        <v>21</v>
      </c>
      <c r="H11" s="2">
        <v>21</v>
      </c>
      <c r="I11" s="2">
        <v>15</v>
      </c>
      <c r="J11" s="2">
        <v>3</v>
      </c>
      <c r="K11" s="2">
        <v>13</v>
      </c>
      <c r="L11" s="2">
        <v>15</v>
      </c>
      <c r="M11">
        <v>26</v>
      </c>
      <c r="N11">
        <v>25</v>
      </c>
      <c r="O11">
        <v>4</v>
      </c>
      <c r="P11">
        <v>14</v>
      </c>
      <c r="Q11">
        <v>18</v>
      </c>
      <c r="R11">
        <v>3</v>
      </c>
      <c r="S11">
        <v>22</v>
      </c>
      <c r="T11" s="1">
        <v>10</v>
      </c>
      <c r="U11">
        <v>15</v>
      </c>
      <c r="V11">
        <v>12</v>
      </c>
      <c r="W11">
        <v>22</v>
      </c>
      <c r="X11">
        <v>12</v>
      </c>
      <c r="Y11">
        <v>19</v>
      </c>
      <c r="Z11">
        <v>23</v>
      </c>
      <c r="AA11">
        <v>14</v>
      </c>
      <c r="AB11">
        <v>11</v>
      </c>
      <c r="AC11">
        <v>18</v>
      </c>
      <c r="AD11">
        <v>20</v>
      </c>
      <c r="AE11">
        <v>16</v>
      </c>
      <c r="AF11">
        <v>6</v>
      </c>
      <c r="AG11">
        <v>3</v>
      </c>
      <c r="AH11">
        <v>20</v>
      </c>
      <c r="AI11">
        <v>10</v>
      </c>
      <c r="AJ11">
        <v>19</v>
      </c>
      <c r="AK11">
        <v>16</v>
      </c>
      <c r="AL11">
        <v>14</v>
      </c>
      <c r="AM11">
        <v>21</v>
      </c>
      <c r="AN11">
        <v>22</v>
      </c>
      <c r="AO11">
        <v>25</v>
      </c>
      <c r="AP11">
        <v>16</v>
      </c>
      <c r="AQ11">
        <v>2</v>
      </c>
      <c r="AR11">
        <v>8</v>
      </c>
      <c r="AS11">
        <v>21</v>
      </c>
      <c r="AT11">
        <v>19</v>
      </c>
      <c r="AU11">
        <v>23</v>
      </c>
      <c r="AV11">
        <v>5</v>
      </c>
      <c r="AW11">
        <v>8</v>
      </c>
      <c r="AX11">
        <v>3</v>
      </c>
      <c r="AY11">
        <v>4</v>
      </c>
      <c r="AZ11">
        <v>14</v>
      </c>
      <c r="BA11">
        <v>5</v>
      </c>
      <c r="BB11">
        <v>22</v>
      </c>
      <c r="BC11">
        <v>12</v>
      </c>
      <c r="BD11">
        <v>25</v>
      </c>
      <c r="BE11">
        <v>1</v>
      </c>
      <c r="BF11">
        <v>6</v>
      </c>
      <c r="BG11">
        <v>3</v>
      </c>
      <c r="BH11">
        <v>15</v>
      </c>
      <c r="BI11">
        <v>9</v>
      </c>
      <c r="BJ11">
        <v>20</v>
      </c>
      <c r="BK11">
        <v>4</v>
      </c>
      <c r="BL11">
        <v>13</v>
      </c>
      <c r="BM11">
        <v>20</v>
      </c>
      <c r="BN11">
        <v>10</v>
      </c>
      <c r="BO11">
        <v>10</v>
      </c>
      <c r="BP11">
        <v>3</v>
      </c>
      <c r="BQ11">
        <v>18</v>
      </c>
      <c r="BR11">
        <v>5</v>
      </c>
      <c r="BS11">
        <v>9</v>
      </c>
      <c r="BT11">
        <v>17</v>
      </c>
      <c r="BU11">
        <v>6</v>
      </c>
      <c r="BV11">
        <v>12</v>
      </c>
      <c r="BW11">
        <v>2</v>
      </c>
      <c r="BX11">
        <v>4</v>
      </c>
      <c r="BY11">
        <v>3</v>
      </c>
      <c r="BZ11">
        <v>21</v>
      </c>
      <c r="CA11">
        <v>1</v>
      </c>
      <c r="CB11">
        <v>5</v>
      </c>
      <c r="CC11">
        <v>20</v>
      </c>
      <c r="CD11">
        <v>16</v>
      </c>
      <c r="CE11">
        <v>14</v>
      </c>
      <c r="CF11">
        <v>12</v>
      </c>
      <c r="CG11">
        <f t="shared" ca="1" si="0"/>
        <v>19</v>
      </c>
    </row>
    <row r="12" spans="1:85" x14ac:dyDescent="0.25">
      <c r="A12" t="s">
        <v>10</v>
      </c>
      <c r="C12" s="2">
        <v>6</v>
      </c>
      <c r="D12" s="2">
        <v>16</v>
      </c>
      <c r="E12" s="2">
        <v>15</v>
      </c>
      <c r="F12" s="2">
        <v>3</v>
      </c>
      <c r="G12" s="2">
        <v>2</v>
      </c>
      <c r="H12" s="2">
        <v>25</v>
      </c>
      <c r="I12" s="2">
        <v>24</v>
      </c>
      <c r="J12" s="2">
        <v>20</v>
      </c>
      <c r="K12" s="2">
        <v>8</v>
      </c>
      <c r="L12" s="2">
        <v>19</v>
      </c>
      <c r="M12">
        <v>8</v>
      </c>
      <c r="N12">
        <v>24</v>
      </c>
      <c r="O12">
        <v>7</v>
      </c>
      <c r="P12">
        <v>1</v>
      </c>
      <c r="Q12">
        <v>18</v>
      </c>
      <c r="R12">
        <v>20</v>
      </c>
      <c r="S12">
        <v>18</v>
      </c>
      <c r="T12">
        <v>14</v>
      </c>
      <c r="U12">
        <v>3</v>
      </c>
      <c r="V12">
        <v>20</v>
      </c>
      <c r="W12" s="1">
        <v>10</v>
      </c>
      <c r="X12">
        <v>14</v>
      </c>
      <c r="Y12">
        <v>1</v>
      </c>
      <c r="Z12">
        <v>17</v>
      </c>
      <c r="AA12">
        <v>1</v>
      </c>
      <c r="AB12">
        <v>18</v>
      </c>
      <c r="AC12">
        <v>8</v>
      </c>
      <c r="AD12">
        <v>25</v>
      </c>
      <c r="AE12">
        <v>10</v>
      </c>
      <c r="AF12">
        <v>1</v>
      </c>
      <c r="AG12">
        <v>3</v>
      </c>
      <c r="AH12">
        <v>23</v>
      </c>
      <c r="AI12">
        <v>17</v>
      </c>
      <c r="AJ12">
        <v>18</v>
      </c>
      <c r="AK12">
        <v>2</v>
      </c>
      <c r="AL12">
        <v>9</v>
      </c>
      <c r="AM12">
        <v>4</v>
      </c>
      <c r="AN12">
        <v>16</v>
      </c>
      <c r="AO12">
        <v>4</v>
      </c>
      <c r="AP12">
        <v>19</v>
      </c>
      <c r="AQ12">
        <v>20</v>
      </c>
      <c r="AR12">
        <v>1</v>
      </c>
      <c r="AS12">
        <v>14</v>
      </c>
      <c r="AT12">
        <v>20</v>
      </c>
      <c r="AU12">
        <v>20</v>
      </c>
      <c r="AV12">
        <v>17</v>
      </c>
      <c r="AW12">
        <v>7</v>
      </c>
      <c r="AX12">
        <v>20</v>
      </c>
      <c r="AY12">
        <v>17</v>
      </c>
      <c r="AZ12">
        <v>7</v>
      </c>
      <c r="BA12">
        <v>8</v>
      </c>
      <c r="BB12">
        <v>10</v>
      </c>
      <c r="BC12">
        <v>21</v>
      </c>
      <c r="BD12">
        <v>15</v>
      </c>
      <c r="BE12">
        <v>16</v>
      </c>
      <c r="BF12">
        <v>13</v>
      </c>
      <c r="BG12">
        <v>18</v>
      </c>
      <c r="BH12">
        <v>25</v>
      </c>
      <c r="BI12">
        <v>21</v>
      </c>
      <c r="BJ12">
        <v>10</v>
      </c>
      <c r="BK12">
        <v>15</v>
      </c>
      <c r="BL12">
        <v>10</v>
      </c>
      <c r="BM12">
        <v>24</v>
      </c>
      <c r="BN12">
        <v>10</v>
      </c>
      <c r="BO12">
        <v>6</v>
      </c>
      <c r="BP12">
        <v>11</v>
      </c>
      <c r="BQ12">
        <v>15</v>
      </c>
      <c r="BR12">
        <v>7</v>
      </c>
      <c r="BS12">
        <v>6</v>
      </c>
      <c r="BT12">
        <v>21</v>
      </c>
      <c r="BU12">
        <v>2</v>
      </c>
      <c r="BV12">
        <v>18</v>
      </c>
      <c r="BW12">
        <v>6</v>
      </c>
      <c r="BX12">
        <v>22</v>
      </c>
      <c r="BY12">
        <v>12</v>
      </c>
      <c r="BZ12">
        <v>6</v>
      </c>
      <c r="CA12">
        <v>5</v>
      </c>
      <c r="CB12">
        <v>8</v>
      </c>
      <c r="CC12">
        <v>21</v>
      </c>
      <c r="CD12">
        <v>25</v>
      </c>
      <c r="CE12">
        <v>23</v>
      </c>
      <c r="CF12">
        <v>26</v>
      </c>
      <c r="CG12">
        <f t="shared" ca="1" si="0"/>
        <v>17</v>
      </c>
    </row>
    <row r="13" spans="1:85" x14ac:dyDescent="0.25">
      <c r="A13" t="s">
        <v>11</v>
      </c>
      <c r="C13" s="2">
        <v>18</v>
      </c>
      <c r="D13" s="2">
        <v>15</v>
      </c>
      <c r="E13" s="2">
        <v>5</v>
      </c>
      <c r="F13" s="2">
        <v>24</v>
      </c>
      <c r="G13" s="2">
        <v>2</v>
      </c>
      <c r="H13" s="2">
        <v>5</v>
      </c>
      <c r="I13" s="2">
        <v>26</v>
      </c>
      <c r="J13" s="2">
        <v>23</v>
      </c>
      <c r="K13" s="2">
        <v>7</v>
      </c>
      <c r="L13" s="2">
        <v>2</v>
      </c>
      <c r="M13">
        <v>12</v>
      </c>
      <c r="N13">
        <v>22</v>
      </c>
      <c r="O13">
        <v>18</v>
      </c>
      <c r="P13" s="1">
        <v>10</v>
      </c>
      <c r="Q13">
        <v>15</v>
      </c>
      <c r="R13">
        <v>26</v>
      </c>
      <c r="S13">
        <v>21</v>
      </c>
      <c r="T13">
        <v>11</v>
      </c>
      <c r="U13">
        <v>1</v>
      </c>
      <c r="V13">
        <v>5</v>
      </c>
      <c r="W13">
        <v>15</v>
      </c>
      <c r="X13">
        <v>6</v>
      </c>
      <c r="Y13">
        <v>25</v>
      </c>
      <c r="Z13">
        <v>1</v>
      </c>
      <c r="AA13">
        <v>7</v>
      </c>
      <c r="AB13">
        <v>1</v>
      </c>
      <c r="AC13">
        <v>8</v>
      </c>
      <c r="AD13">
        <v>5</v>
      </c>
      <c r="AE13">
        <v>5</v>
      </c>
      <c r="AF13">
        <v>5</v>
      </c>
      <c r="AG13">
        <v>13</v>
      </c>
      <c r="AH13">
        <v>14</v>
      </c>
      <c r="AI13">
        <v>13</v>
      </c>
      <c r="AJ13">
        <v>23</v>
      </c>
      <c r="AK13">
        <v>14</v>
      </c>
      <c r="AL13">
        <v>26</v>
      </c>
      <c r="AM13">
        <v>12</v>
      </c>
      <c r="AN13">
        <v>18</v>
      </c>
      <c r="AO13">
        <v>13</v>
      </c>
      <c r="AP13">
        <v>10</v>
      </c>
      <c r="AQ13">
        <v>21</v>
      </c>
      <c r="AR13">
        <v>15</v>
      </c>
      <c r="AS13">
        <v>10</v>
      </c>
      <c r="AT13">
        <v>22</v>
      </c>
      <c r="AU13">
        <v>1</v>
      </c>
      <c r="AV13">
        <v>26</v>
      </c>
      <c r="AW13">
        <v>14</v>
      </c>
      <c r="AX13">
        <v>17</v>
      </c>
      <c r="AY13">
        <v>8</v>
      </c>
      <c r="AZ13">
        <v>13</v>
      </c>
      <c r="BA13">
        <v>15</v>
      </c>
      <c r="BB13">
        <v>13</v>
      </c>
      <c r="BC13">
        <v>15</v>
      </c>
      <c r="BD13">
        <v>23</v>
      </c>
      <c r="BE13">
        <v>14</v>
      </c>
      <c r="BF13">
        <v>24</v>
      </c>
      <c r="BG13">
        <v>5</v>
      </c>
      <c r="BH13">
        <v>1</v>
      </c>
      <c r="BI13">
        <v>10</v>
      </c>
      <c r="BJ13">
        <v>19</v>
      </c>
      <c r="BK13">
        <v>22</v>
      </c>
      <c r="BL13">
        <v>12</v>
      </c>
      <c r="BM13">
        <v>21</v>
      </c>
      <c r="BN13">
        <v>12</v>
      </c>
      <c r="BO13">
        <v>2</v>
      </c>
      <c r="BP13">
        <v>14</v>
      </c>
      <c r="BQ13">
        <v>15</v>
      </c>
      <c r="BR13">
        <v>7</v>
      </c>
      <c r="BS13">
        <v>13</v>
      </c>
      <c r="BT13">
        <v>7</v>
      </c>
      <c r="BU13">
        <v>24</v>
      </c>
      <c r="BV13">
        <v>1</v>
      </c>
      <c r="BW13">
        <v>22</v>
      </c>
      <c r="BX13">
        <v>1</v>
      </c>
      <c r="BY13">
        <v>19</v>
      </c>
      <c r="BZ13">
        <v>7</v>
      </c>
      <c r="CA13">
        <v>9</v>
      </c>
      <c r="CB13">
        <v>4</v>
      </c>
      <c r="CC13">
        <v>8</v>
      </c>
      <c r="CD13">
        <v>17</v>
      </c>
      <c r="CE13">
        <v>17</v>
      </c>
      <c r="CF13">
        <v>20</v>
      </c>
      <c r="CG13">
        <f t="shared" ca="1" si="0"/>
        <v>4</v>
      </c>
    </row>
    <row r="14" spans="1:85" x14ac:dyDescent="0.25">
      <c r="A14" t="s">
        <v>12</v>
      </c>
      <c r="C14" s="2">
        <v>20</v>
      </c>
      <c r="D14" s="2">
        <v>18</v>
      </c>
      <c r="E14" s="2">
        <v>17</v>
      </c>
      <c r="F14" s="2">
        <v>2</v>
      </c>
      <c r="G14" s="2">
        <v>22</v>
      </c>
      <c r="H14" s="2">
        <v>17</v>
      </c>
      <c r="I14" s="2">
        <v>20</v>
      </c>
      <c r="J14" s="2">
        <v>7</v>
      </c>
      <c r="K14" s="2">
        <v>16</v>
      </c>
      <c r="L14" s="2">
        <v>26</v>
      </c>
      <c r="M14">
        <v>11</v>
      </c>
      <c r="N14">
        <v>5</v>
      </c>
      <c r="O14">
        <v>1</v>
      </c>
      <c r="P14">
        <v>6</v>
      </c>
      <c r="Q14">
        <v>15</v>
      </c>
      <c r="R14">
        <v>18</v>
      </c>
      <c r="S14">
        <v>5</v>
      </c>
      <c r="T14">
        <v>1</v>
      </c>
      <c r="U14">
        <v>8</v>
      </c>
      <c r="V14">
        <v>26</v>
      </c>
      <c r="W14" s="1">
        <v>10</v>
      </c>
      <c r="X14">
        <v>17</v>
      </c>
      <c r="Y14">
        <v>3</v>
      </c>
      <c r="Z14">
        <v>24</v>
      </c>
      <c r="AA14">
        <v>14</v>
      </c>
      <c r="AB14">
        <v>25</v>
      </c>
      <c r="AC14">
        <v>3</v>
      </c>
      <c r="AD14">
        <v>20</v>
      </c>
      <c r="AE14">
        <v>17</v>
      </c>
      <c r="AF14">
        <v>15</v>
      </c>
      <c r="AG14">
        <v>5</v>
      </c>
      <c r="AH14">
        <v>11</v>
      </c>
      <c r="AI14">
        <v>15</v>
      </c>
      <c r="AJ14">
        <v>13</v>
      </c>
      <c r="AK14">
        <v>16</v>
      </c>
      <c r="AL14">
        <v>8</v>
      </c>
      <c r="AM14">
        <v>3</v>
      </c>
      <c r="AN14">
        <v>19</v>
      </c>
      <c r="AO14">
        <v>8</v>
      </c>
      <c r="AP14">
        <v>3</v>
      </c>
      <c r="AQ14">
        <v>7</v>
      </c>
      <c r="AR14">
        <v>18</v>
      </c>
      <c r="AS14">
        <v>16</v>
      </c>
      <c r="AT14">
        <v>8</v>
      </c>
      <c r="AU14">
        <v>26</v>
      </c>
      <c r="AV14">
        <v>2</v>
      </c>
      <c r="AW14">
        <v>5</v>
      </c>
      <c r="AX14">
        <v>17</v>
      </c>
      <c r="AY14">
        <v>14</v>
      </c>
      <c r="AZ14">
        <v>17</v>
      </c>
      <c r="BA14">
        <v>2</v>
      </c>
      <c r="BB14">
        <v>13</v>
      </c>
      <c r="BC14">
        <v>15</v>
      </c>
      <c r="BD14">
        <v>26</v>
      </c>
      <c r="BE14">
        <v>1</v>
      </c>
      <c r="BF14">
        <v>6</v>
      </c>
      <c r="BG14">
        <v>21</v>
      </c>
      <c r="BH14">
        <v>11</v>
      </c>
      <c r="BI14">
        <v>19</v>
      </c>
      <c r="BJ14">
        <v>9</v>
      </c>
      <c r="BK14">
        <v>9</v>
      </c>
      <c r="BL14">
        <v>23</v>
      </c>
      <c r="BM14">
        <v>4</v>
      </c>
      <c r="BN14">
        <v>21</v>
      </c>
      <c r="BO14">
        <v>10</v>
      </c>
      <c r="BP14">
        <v>25</v>
      </c>
      <c r="BQ14">
        <v>19</v>
      </c>
      <c r="BR14">
        <v>11</v>
      </c>
      <c r="BS14">
        <v>24</v>
      </c>
      <c r="BT14">
        <v>8</v>
      </c>
      <c r="BU14">
        <v>18</v>
      </c>
      <c r="BV14">
        <v>19</v>
      </c>
      <c r="BW14">
        <v>13</v>
      </c>
      <c r="BX14">
        <v>11</v>
      </c>
      <c r="BY14">
        <v>22</v>
      </c>
      <c r="BZ14">
        <v>24</v>
      </c>
      <c r="CA14">
        <v>2</v>
      </c>
      <c r="CB14">
        <v>4</v>
      </c>
      <c r="CC14">
        <v>14</v>
      </c>
      <c r="CD14">
        <v>13</v>
      </c>
      <c r="CE14">
        <v>21</v>
      </c>
      <c r="CF14">
        <v>11</v>
      </c>
      <c r="CG14">
        <f t="shared" ca="1" si="0"/>
        <v>9</v>
      </c>
    </row>
    <row r="15" spans="1:85" x14ac:dyDescent="0.25">
      <c r="A15" t="s">
        <v>13</v>
      </c>
      <c r="C15" s="2">
        <v>8</v>
      </c>
      <c r="D15" s="2">
        <v>15</v>
      </c>
      <c r="E15" s="2">
        <v>14</v>
      </c>
      <c r="F15" s="2">
        <v>4</v>
      </c>
      <c r="G15" s="2">
        <v>18</v>
      </c>
      <c r="H15" s="2">
        <v>11</v>
      </c>
      <c r="I15" s="2">
        <v>20</v>
      </c>
      <c r="J15" s="2">
        <v>11</v>
      </c>
      <c r="K15" s="2">
        <v>15</v>
      </c>
      <c r="L15" s="2">
        <v>11</v>
      </c>
      <c r="M15">
        <v>19</v>
      </c>
      <c r="N15">
        <v>3</v>
      </c>
      <c r="O15">
        <v>22</v>
      </c>
      <c r="P15">
        <v>9</v>
      </c>
      <c r="Q15">
        <v>7</v>
      </c>
      <c r="R15" s="1">
        <v>10</v>
      </c>
      <c r="S15">
        <v>15</v>
      </c>
      <c r="T15">
        <v>16</v>
      </c>
      <c r="U15">
        <v>16</v>
      </c>
      <c r="V15">
        <v>21</v>
      </c>
      <c r="W15">
        <v>14</v>
      </c>
      <c r="X15">
        <v>21</v>
      </c>
      <c r="Y15">
        <v>2</v>
      </c>
      <c r="Z15">
        <v>15</v>
      </c>
      <c r="AA15">
        <v>20</v>
      </c>
      <c r="AB15">
        <v>12</v>
      </c>
      <c r="AC15">
        <v>24</v>
      </c>
      <c r="AD15">
        <v>13</v>
      </c>
      <c r="AE15">
        <v>1</v>
      </c>
      <c r="AF15">
        <v>7</v>
      </c>
      <c r="AG15">
        <v>16</v>
      </c>
      <c r="AH15">
        <v>13</v>
      </c>
      <c r="AI15">
        <v>11</v>
      </c>
      <c r="AJ15">
        <v>21</v>
      </c>
      <c r="AK15">
        <v>20</v>
      </c>
      <c r="AL15">
        <v>9</v>
      </c>
      <c r="AM15">
        <v>3</v>
      </c>
      <c r="AN15">
        <v>1</v>
      </c>
      <c r="AO15">
        <v>5</v>
      </c>
      <c r="AP15">
        <v>22</v>
      </c>
      <c r="AQ15">
        <v>13</v>
      </c>
      <c r="AR15">
        <v>16</v>
      </c>
      <c r="AS15">
        <v>25</v>
      </c>
      <c r="AT15">
        <v>6</v>
      </c>
      <c r="AU15">
        <v>4</v>
      </c>
      <c r="AV15">
        <v>11</v>
      </c>
      <c r="AW15">
        <v>3</v>
      </c>
      <c r="AX15">
        <v>18</v>
      </c>
      <c r="AY15">
        <v>9</v>
      </c>
      <c r="AZ15">
        <v>11</v>
      </c>
      <c r="BA15">
        <v>18</v>
      </c>
      <c r="BB15">
        <v>19</v>
      </c>
      <c r="BC15">
        <v>19</v>
      </c>
      <c r="BD15">
        <v>1</v>
      </c>
      <c r="BE15">
        <v>18</v>
      </c>
      <c r="BF15">
        <v>13</v>
      </c>
      <c r="BG15">
        <v>20</v>
      </c>
      <c r="BH15">
        <v>1</v>
      </c>
      <c r="BI15">
        <v>14</v>
      </c>
      <c r="BJ15">
        <v>12</v>
      </c>
      <c r="BK15">
        <v>26</v>
      </c>
      <c r="BL15">
        <v>8</v>
      </c>
      <c r="BM15">
        <v>22</v>
      </c>
      <c r="BN15">
        <v>1</v>
      </c>
      <c r="BO15">
        <v>24</v>
      </c>
      <c r="BP15">
        <v>15</v>
      </c>
      <c r="BQ15">
        <v>1</v>
      </c>
      <c r="BR15">
        <v>16</v>
      </c>
      <c r="BS15">
        <v>25</v>
      </c>
      <c r="BT15">
        <v>2</v>
      </c>
      <c r="BU15">
        <v>24</v>
      </c>
      <c r="BV15">
        <v>21</v>
      </c>
      <c r="BW15">
        <v>24</v>
      </c>
      <c r="BX15">
        <v>12</v>
      </c>
      <c r="BY15">
        <v>5</v>
      </c>
      <c r="BZ15">
        <v>6</v>
      </c>
      <c r="CA15">
        <v>4</v>
      </c>
      <c r="CB15">
        <v>25</v>
      </c>
      <c r="CC15">
        <v>16</v>
      </c>
      <c r="CD15">
        <v>4</v>
      </c>
      <c r="CE15">
        <v>25</v>
      </c>
      <c r="CF15">
        <v>23</v>
      </c>
      <c r="CG15">
        <f t="shared" ca="1" si="0"/>
        <v>9</v>
      </c>
    </row>
    <row r="16" spans="1:85" x14ac:dyDescent="0.25">
      <c r="A16" t="s">
        <v>14</v>
      </c>
      <c r="C16" s="2">
        <v>6</v>
      </c>
      <c r="D16" s="2">
        <v>17</v>
      </c>
      <c r="E16" s="2">
        <v>15</v>
      </c>
      <c r="F16" s="2">
        <v>23</v>
      </c>
      <c r="G16" s="2">
        <v>8</v>
      </c>
      <c r="H16" s="2">
        <v>16</v>
      </c>
      <c r="I16" s="2">
        <v>17</v>
      </c>
      <c r="J16" s="2">
        <v>25</v>
      </c>
      <c r="K16" s="2">
        <v>20</v>
      </c>
      <c r="L16" s="2">
        <v>13</v>
      </c>
      <c r="M16">
        <v>13</v>
      </c>
      <c r="N16">
        <v>21</v>
      </c>
      <c r="O16">
        <v>5</v>
      </c>
      <c r="P16">
        <v>23</v>
      </c>
      <c r="Q16">
        <v>13</v>
      </c>
      <c r="R16">
        <v>19</v>
      </c>
      <c r="S16">
        <v>16</v>
      </c>
      <c r="T16">
        <v>20</v>
      </c>
      <c r="U16">
        <v>16</v>
      </c>
      <c r="V16">
        <v>21</v>
      </c>
      <c r="W16">
        <v>13</v>
      </c>
      <c r="X16">
        <v>18</v>
      </c>
      <c r="Y16">
        <v>18</v>
      </c>
      <c r="Z16">
        <v>26</v>
      </c>
      <c r="AA16">
        <v>18</v>
      </c>
      <c r="AB16">
        <v>3</v>
      </c>
      <c r="AC16">
        <v>10</v>
      </c>
      <c r="AD16">
        <v>19</v>
      </c>
      <c r="AE16">
        <v>22</v>
      </c>
      <c r="AF16">
        <v>24</v>
      </c>
      <c r="AG16">
        <v>21</v>
      </c>
      <c r="AH16">
        <v>7</v>
      </c>
      <c r="AI16">
        <v>5</v>
      </c>
      <c r="AJ16">
        <v>14</v>
      </c>
      <c r="AK16">
        <v>9</v>
      </c>
      <c r="AL16">
        <v>16</v>
      </c>
      <c r="AM16">
        <v>1</v>
      </c>
      <c r="AN16">
        <v>18</v>
      </c>
      <c r="AO16">
        <v>14</v>
      </c>
      <c r="AP16">
        <v>7</v>
      </c>
      <c r="AQ16">
        <v>7</v>
      </c>
      <c r="AR16">
        <v>22</v>
      </c>
      <c r="AS16">
        <v>2</v>
      </c>
      <c r="AT16">
        <v>1</v>
      </c>
      <c r="AU16">
        <v>1</v>
      </c>
      <c r="AV16">
        <v>6</v>
      </c>
      <c r="AW16">
        <v>26</v>
      </c>
      <c r="AX16">
        <v>2</v>
      </c>
      <c r="AY16">
        <v>7</v>
      </c>
      <c r="AZ16">
        <v>14</v>
      </c>
      <c r="BA16">
        <v>7</v>
      </c>
      <c r="BB16">
        <v>16</v>
      </c>
      <c r="BC16">
        <v>17</v>
      </c>
      <c r="BD16">
        <v>23</v>
      </c>
      <c r="BE16">
        <v>21</v>
      </c>
      <c r="BF16">
        <v>21</v>
      </c>
      <c r="BG16">
        <v>24</v>
      </c>
      <c r="BH16">
        <v>12</v>
      </c>
      <c r="BI16">
        <v>10</v>
      </c>
      <c r="BJ16">
        <v>23</v>
      </c>
      <c r="BK16">
        <v>23</v>
      </c>
      <c r="BL16">
        <v>7</v>
      </c>
      <c r="BM16">
        <v>24</v>
      </c>
      <c r="BN16">
        <v>20</v>
      </c>
      <c r="BO16">
        <v>11</v>
      </c>
      <c r="BP16">
        <v>4</v>
      </c>
      <c r="BQ16">
        <v>14</v>
      </c>
      <c r="BR16">
        <v>23</v>
      </c>
      <c r="BS16">
        <v>13</v>
      </c>
      <c r="BT16">
        <v>2</v>
      </c>
      <c r="BU16">
        <v>18</v>
      </c>
      <c r="BV16">
        <v>12</v>
      </c>
      <c r="BW16">
        <v>21</v>
      </c>
      <c r="BX16">
        <v>1</v>
      </c>
      <c r="BY16">
        <v>6</v>
      </c>
      <c r="BZ16">
        <v>13</v>
      </c>
      <c r="CA16">
        <v>18</v>
      </c>
      <c r="CB16">
        <v>25</v>
      </c>
      <c r="CC16">
        <v>5</v>
      </c>
      <c r="CD16">
        <v>22</v>
      </c>
      <c r="CE16">
        <v>20</v>
      </c>
      <c r="CF16">
        <v>1</v>
      </c>
      <c r="CG16">
        <f t="shared" ref="CG16:CG27" ca="1" si="1">RANDBETWEEN(1,26)</f>
        <v>21</v>
      </c>
    </row>
    <row r="17" spans="1:85" x14ac:dyDescent="0.25">
      <c r="A17" t="s">
        <v>15</v>
      </c>
      <c r="B17" s="1"/>
      <c r="C17" s="2">
        <v>24</v>
      </c>
      <c r="D17" s="2">
        <v>16</v>
      </c>
      <c r="E17" s="2">
        <v>11</v>
      </c>
      <c r="F17" s="2">
        <v>1</v>
      </c>
      <c r="G17" s="2">
        <v>7</v>
      </c>
      <c r="H17" s="2">
        <v>10</v>
      </c>
      <c r="I17" s="2">
        <v>25</v>
      </c>
      <c r="J17" s="2">
        <v>13</v>
      </c>
      <c r="K17" s="2">
        <v>4</v>
      </c>
      <c r="L17" s="2">
        <v>1</v>
      </c>
      <c r="M17">
        <v>9</v>
      </c>
      <c r="N17">
        <v>24</v>
      </c>
      <c r="O17">
        <v>9</v>
      </c>
      <c r="P17">
        <v>11</v>
      </c>
      <c r="Q17">
        <v>8</v>
      </c>
      <c r="R17">
        <v>24</v>
      </c>
      <c r="S17">
        <v>17</v>
      </c>
      <c r="T17">
        <v>3</v>
      </c>
      <c r="U17">
        <v>9</v>
      </c>
      <c r="V17">
        <v>14</v>
      </c>
      <c r="W17">
        <v>9</v>
      </c>
      <c r="X17">
        <v>19</v>
      </c>
      <c r="Y17">
        <v>8</v>
      </c>
      <c r="Z17">
        <v>14</v>
      </c>
      <c r="AA17">
        <v>21</v>
      </c>
      <c r="AB17">
        <v>17</v>
      </c>
      <c r="AC17">
        <v>17</v>
      </c>
      <c r="AD17">
        <v>2</v>
      </c>
      <c r="AE17">
        <v>25</v>
      </c>
      <c r="AF17">
        <v>15</v>
      </c>
      <c r="AG17">
        <v>3</v>
      </c>
      <c r="AH17">
        <v>25</v>
      </c>
      <c r="AI17">
        <v>6</v>
      </c>
      <c r="AJ17">
        <v>9</v>
      </c>
      <c r="AK17">
        <v>22</v>
      </c>
      <c r="AL17">
        <v>17</v>
      </c>
      <c r="AM17">
        <v>26</v>
      </c>
      <c r="AN17">
        <v>19</v>
      </c>
      <c r="AO17">
        <v>2</v>
      </c>
      <c r="AP17">
        <v>21</v>
      </c>
      <c r="AQ17">
        <v>18</v>
      </c>
      <c r="AR17">
        <v>12</v>
      </c>
      <c r="AS17">
        <v>17</v>
      </c>
      <c r="AT17">
        <v>22</v>
      </c>
      <c r="AU17">
        <v>23</v>
      </c>
      <c r="AV17">
        <v>2</v>
      </c>
      <c r="AW17">
        <v>14</v>
      </c>
      <c r="AX17">
        <v>12</v>
      </c>
      <c r="AY17">
        <v>8</v>
      </c>
      <c r="AZ17">
        <v>13</v>
      </c>
      <c r="BA17">
        <v>22</v>
      </c>
      <c r="BB17">
        <v>26</v>
      </c>
      <c r="BC17">
        <v>5</v>
      </c>
      <c r="BD17">
        <v>23</v>
      </c>
      <c r="BE17">
        <v>3</v>
      </c>
      <c r="BF17">
        <v>19</v>
      </c>
      <c r="BG17">
        <v>4</v>
      </c>
      <c r="BH17">
        <v>6</v>
      </c>
      <c r="BI17">
        <v>5</v>
      </c>
      <c r="BJ17">
        <v>10</v>
      </c>
      <c r="BK17">
        <v>9</v>
      </c>
      <c r="BL17">
        <v>14</v>
      </c>
      <c r="BM17">
        <v>18</v>
      </c>
      <c r="BN17">
        <v>10</v>
      </c>
      <c r="BO17">
        <v>2</v>
      </c>
      <c r="BP17">
        <v>23</v>
      </c>
      <c r="BQ17">
        <v>8</v>
      </c>
      <c r="BR17">
        <v>14</v>
      </c>
      <c r="BS17">
        <v>17</v>
      </c>
      <c r="BT17">
        <v>15</v>
      </c>
      <c r="BU17">
        <v>1</v>
      </c>
      <c r="BV17">
        <v>5</v>
      </c>
      <c r="BW17">
        <v>15</v>
      </c>
      <c r="BX17">
        <v>10</v>
      </c>
      <c r="BY17">
        <v>2</v>
      </c>
      <c r="BZ17">
        <v>1</v>
      </c>
      <c r="CA17">
        <v>18</v>
      </c>
      <c r="CB17">
        <v>24</v>
      </c>
      <c r="CC17">
        <v>8</v>
      </c>
      <c r="CD17">
        <v>14</v>
      </c>
      <c r="CE17">
        <v>16</v>
      </c>
      <c r="CF17">
        <v>21</v>
      </c>
      <c r="CG17">
        <f t="shared" ca="1" si="1"/>
        <v>5</v>
      </c>
    </row>
    <row r="18" spans="1:85" x14ac:dyDescent="0.25">
      <c r="A18" t="s">
        <v>16</v>
      </c>
      <c r="C18" s="2">
        <v>14</v>
      </c>
      <c r="D18" s="2">
        <v>8</v>
      </c>
      <c r="E18" s="2">
        <v>15</v>
      </c>
      <c r="F18" s="2">
        <v>9</v>
      </c>
      <c r="G18" s="2">
        <v>15</v>
      </c>
      <c r="H18" s="2">
        <v>26</v>
      </c>
      <c r="I18" s="2">
        <v>21</v>
      </c>
      <c r="J18" s="2">
        <v>24</v>
      </c>
      <c r="K18" s="2">
        <v>8</v>
      </c>
      <c r="L18" s="2">
        <v>24</v>
      </c>
      <c r="M18">
        <v>15</v>
      </c>
      <c r="N18">
        <v>17</v>
      </c>
      <c r="O18">
        <v>6</v>
      </c>
      <c r="P18">
        <v>7</v>
      </c>
      <c r="Q18">
        <v>19</v>
      </c>
      <c r="R18">
        <v>15</v>
      </c>
      <c r="S18">
        <v>12</v>
      </c>
      <c r="T18">
        <v>11</v>
      </c>
      <c r="U18">
        <v>23</v>
      </c>
      <c r="V18">
        <v>24</v>
      </c>
      <c r="W18">
        <v>22</v>
      </c>
      <c r="X18">
        <v>12</v>
      </c>
      <c r="Y18">
        <v>25</v>
      </c>
      <c r="Z18">
        <v>17</v>
      </c>
      <c r="AA18">
        <v>5</v>
      </c>
      <c r="AB18">
        <v>11</v>
      </c>
      <c r="AC18">
        <v>24</v>
      </c>
      <c r="AD18">
        <v>12</v>
      </c>
      <c r="AE18">
        <v>20</v>
      </c>
      <c r="AF18">
        <v>5</v>
      </c>
      <c r="AG18">
        <v>14</v>
      </c>
      <c r="AH18">
        <v>2</v>
      </c>
      <c r="AI18">
        <v>20</v>
      </c>
      <c r="AJ18">
        <v>14</v>
      </c>
      <c r="AK18">
        <v>5</v>
      </c>
      <c r="AL18">
        <v>4</v>
      </c>
      <c r="AM18">
        <v>26</v>
      </c>
      <c r="AN18">
        <v>11</v>
      </c>
      <c r="AO18">
        <v>20</v>
      </c>
      <c r="AP18">
        <v>10</v>
      </c>
      <c r="AQ18">
        <v>4</v>
      </c>
      <c r="AR18">
        <v>9</v>
      </c>
      <c r="AS18">
        <v>4</v>
      </c>
      <c r="AT18">
        <v>12</v>
      </c>
      <c r="AU18">
        <v>13</v>
      </c>
      <c r="AV18">
        <v>15</v>
      </c>
      <c r="AW18">
        <v>17</v>
      </c>
      <c r="AX18">
        <v>15</v>
      </c>
      <c r="AY18">
        <v>3</v>
      </c>
      <c r="AZ18">
        <v>18</v>
      </c>
      <c r="BA18">
        <v>23</v>
      </c>
      <c r="BB18">
        <v>25</v>
      </c>
      <c r="BC18">
        <v>9</v>
      </c>
      <c r="BD18">
        <v>1</v>
      </c>
      <c r="BE18">
        <v>21</v>
      </c>
      <c r="BF18">
        <v>1</v>
      </c>
      <c r="BG18">
        <v>1</v>
      </c>
      <c r="BH18">
        <v>4</v>
      </c>
      <c r="BI18">
        <v>11</v>
      </c>
      <c r="BJ18">
        <v>20</v>
      </c>
      <c r="BK18">
        <v>9</v>
      </c>
      <c r="BL18">
        <v>9</v>
      </c>
      <c r="BM18">
        <v>15</v>
      </c>
      <c r="BN18">
        <v>1</v>
      </c>
      <c r="BO18">
        <v>16</v>
      </c>
      <c r="BP18">
        <v>25</v>
      </c>
      <c r="BQ18">
        <v>8</v>
      </c>
      <c r="BR18">
        <v>19</v>
      </c>
      <c r="BS18">
        <v>26</v>
      </c>
      <c r="BT18">
        <v>4</v>
      </c>
      <c r="BU18">
        <v>14</v>
      </c>
      <c r="BV18">
        <v>14</v>
      </c>
      <c r="BW18">
        <v>10</v>
      </c>
      <c r="BX18">
        <v>15</v>
      </c>
      <c r="BY18">
        <v>10</v>
      </c>
      <c r="BZ18">
        <v>3</v>
      </c>
      <c r="CA18">
        <v>15</v>
      </c>
      <c r="CB18">
        <v>24</v>
      </c>
      <c r="CC18">
        <v>24</v>
      </c>
      <c r="CD18">
        <v>18</v>
      </c>
      <c r="CE18">
        <v>1</v>
      </c>
      <c r="CF18">
        <v>19</v>
      </c>
      <c r="CG18">
        <f t="shared" ca="1" si="1"/>
        <v>2</v>
      </c>
    </row>
    <row r="19" spans="1:85" x14ac:dyDescent="0.25">
      <c r="A19" t="s">
        <v>17</v>
      </c>
      <c r="C19" s="2">
        <v>6</v>
      </c>
      <c r="D19" s="2">
        <v>14</v>
      </c>
      <c r="E19" s="2">
        <v>21</v>
      </c>
      <c r="F19" s="2">
        <v>1</v>
      </c>
      <c r="G19" s="2">
        <v>20</v>
      </c>
      <c r="H19" s="2">
        <v>20</v>
      </c>
      <c r="I19" s="2">
        <v>4</v>
      </c>
      <c r="J19" s="2">
        <v>24</v>
      </c>
      <c r="K19" s="2">
        <v>26</v>
      </c>
      <c r="L19" s="2">
        <v>18</v>
      </c>
      <c r="M19">
        <v>9</v>
      </c>
      <c r="N19">
        <v>13</v>
      </c>
      <c r="O19">
        <v>23</v>
      </c>
      <c r="P19">
        <v>21</v>
      </c>
      <c r="Q19">
        <v>7</v>
      </c>
      <c r="R19">
        <v>2</v>
      </c>
      <c r="S19">
        <v>5</v>
      </c>
      <c r="T19">
        <v>18</v>
      </c>
      <c r="U19">
        <v>21</v>
      </c>
      <c r="V19">
        <v>19</v>
      </c>
      <c r="W19">
        <v>22</v>
      </c>
      <c r="X19">
        <v>8</v>
      </c>
      <c r="Y19">
        <v>3</v>
      </c>
      <c r="Z19">
        <v>15</v>
      </c>
      <c r="AA19">
        <v>18</v>
      </c>
      <c r="AB19">
        <v>22</v>
      </c>
      <c r="AC19">
        <v>25</v>
      </c>
      <c r="AD19">
        <v>25</v>
      </c>
      <c r="AE19">
        <v>26</v>
      </c>
      <c r="AF19">
        <v>10</v>
      </c>
      <c r="AG19">
        <v>6</v>
      </c>
      <c r="AH19">
        <v>7</v>
      </c>
      <c r="AI19">
        <v>6</v>
      </c>
      <c r="AJ19">
        <v>4</v>
      </c>
      <c r="AK19">
        <v>15</v>
      </c>
      <c r="AL19">
        <v>6</v>
      </c>
      <c r="AM19">
        <v>11</v>
      </c>
      <c r="AN19">
        <v>10</v>
      </c>
      <c r="AO19">
        <v>19</v>
      </c>
      <c r="AP19">
        <v>17</v>
      </c>
      <c r="AQ19">
        <v>18</v>
      </c>
      <c r="AR19">
        <v>11</v>
      </c>
      <c r="AS19">
        <v>21</v>
      </c>
      <c r="AT19">
        <v>19</v>
      </c>
      <c r="AU19">
        <v>21</v>
      </c>
      <c r="AV19">
        <v>5</v>
      </c>
      <c r="AW19">
        <v>13</v>
      </c>
      <c r="AX19">
        <v>5</v>
      </c>
      <c r="AY19">
        <v>9</v>
      </c>
      <c r="AZ19">
        <v>17</v>
      </c>
      <c r="BA19">
        <v>12</v>
      </c>
      <c r="BB19">
        <v>9</v>
      </c>
      <c r="BC19">
        <v>19</v>
      </c>
      <c r="BD19">
        <v>11</v>
      </c>
      <c r="BE19">
        <v>21</v>
      </c>
      <c r="BF19">
        <v>16</v>
      </c>
      <c r="BG19">
        <v>9</v>
      </c>
      <c r="BH19">
        <v>6</v>
      </c>
      <c r="BI19">
        <v>2</v>
      </c>
      <c r="BJ19">
        <v>7</v>
      </c>
      <c r="BK19">
        <v>9</v>
      </c>
      <c r="BL19">
        <v>1</v>
      </c>
      <c r="BM19">
        <v>18</v>
      </c>
      <c r="BN19">
        <v>24</v>
      </c>
      <c r="BO19">
        <v>19</v>
      </c>
      <c r="BP19">
        <v>5</v>
      </c>
      <c r="BQ19">
        <v>20</v>
      </c>
      <c r="BR19">
        <v>8</v>
      </c>
      <c r="BS19">
        <v>21</v>
      </c>
      <c r="BT19">
        <v>2</v>
      </c>
      <c r="BU19">
        <v>6</v>
      </c>
      <c r="BV19">
        <v>16</v>
      </c>
      <c r="BW19">
        <v>6</v>
      </c>
      <c r="BX19">
        <v>19</v>
      </c>
      <c r="BY19">
        <v>18</v>
      </c>
      <c r="BZ19">
        <v>16</v>
      </c>
      <c r="CA19">
        <v>10</v>
      </c>
      <c r="CB19">
        <v>23</v>
      </c>
      <c r="CC19">
        <v>15</v>
      </c>
      <c r="CD19">
        <v>1</v>
      </c>
      <c r="CE19">
        <v>5</v>
      </c>
      <c r="CF19">
        <v>11</v>
      </c>
      <c r="CG19">
        <f t="shared" ca="1" si="1"/>
        <v>12</v>
      </c>
    </row>
    <row r="20" spans="1:85" x14ac:dyDescent="0.25">
      <c r="A20" t="s">
        <v>18</v>
      </c>
      <c r="B20" s="1"/>
      <c r="C20" s="2">
        <v>10</v>
      </c>
      <c r="D20" s="2">
        <v>14</v>
      </c>
      <c r="E20" s="2">
        <v>17</v>
      </c>
      <c r="F20" s="2">
        <v>26</v>
      </c>
      <c r="G20" s="2">
        <v>15</v>
      </c>
      <c r="H20" s="2">
        <v>9</v>
      </c>
      <c r="I20" s="2">
        <v>23</v>
      </c>
      <c r="J20" s="2">
        <v>4</v>
      </c>
      <c r="K20" s="2">
        <v>1</v>
      </c>
      <c r="L20" s="2">
        <v>17</v>
      </c>
      <c r="M20">
        <v>22</v>
      </c>
      <c r="N20">
        <v>9</v>
      </c>
      <c r="O20">
        <v>26</v>
      </c>
      <c r="P20">
        <v>18</v>
      </c>
      <c r="Q20">
        <v>4</v>
      </c>
      <c r="R20">
        <v>19</v>
      </c>
      <c r="S20">
        <v>13</v>
      </c>
      <c r="T20">
        <v>13</v>
      </c>
      <c r="U20">
        <v>8</v>
      </c>
      <c r="V20">
        <v>7</v>
      </c>
      <c r="W20">
        <v>15</v>
      </c>
      <c r="X20" s="1">
        <v>10</v>
      </c>
      <c r="Y20">
        <v>5</v>
      </c>
      <c r="Z20">
        <v>25</v>
      </c>
      <c r="AA20">
        <v>26</v>
      </c>
      <c r="AB20">
        <v>20</v>
      </c>
      <c r="AC20">
        <v>25</v>
      </c>
      <c r="AD20">
        <v>7</v>
      </c>
      <c r="AE20">
        <v>8</v>
      </c>
      <c r="AF20">
        <v>4</v>
      </c>
      <c r="AG20">
        <v>5</v>
      </c>
      <c r="AH20">
        <v>4</v>
      </c>
      <c r="AI20">
        <v>16</v>
      </c>
      <c r="AJ20">
        <v>12</v>
      </c>
      <c r="AK20">
        <v>5</v>
      </c>
      <c r="AL20">
        <v>16</v>
      </c>
      <c r="AM20">
        <v>5</v>
      </c>
      <c r="AN20">
        <v>18</v>
      </c>
      <c r="AO20">
        <v>2</v>
      </c>
      <c r="AP20">
        <v>19</v>
      </c>
      <c r="AQ20">
        <v>11</v>
      </c>
      <c r="AR20">
        <v>7</v>
      </c>
      <c r="AS20">
        <v>16</v>
      </c>
      <c r="AT20">
        <v>18</v>
      </c>
      <c r="AU20">
        <v>14</v>
      </c>
      <c r="AV20">
        <v>3</v>
      </c>
      <c r="AW20">
        <v>20</v>
      </c>
      <c r="AX20">
        <v>8</v>
      </c>
      <c r="AY20">
        <v>24</v>
      </c>
      <c r="AZ20">
        <v>21</v>
      </c>
      <c r="BA20">
        <v>1</v>
      </c>
      <c r="BB20">
        <v>4</v>
      </c>
      <c r="BC20">
        <v>24</v>
      </c>
      <c r="BD20">
        <v>24</v>
      </c>
      <c r="BE20">
        <v>11</v>
      </c>
      <c r="BF20">
        <v>23</v>
      </c>
      <c r="BG20">
        <v>22</v>
      </c>
      <c r="BH20">
        <v>11</v>
      </c>
      <c r="BI20">
        <v>20</v>
      </c>
      <c r="BJ20">
        <v>11</v>
      </c>
      <c r="BK20">
        <v>21</v>
      </c>
      <c r="BL20">
        <v>24</v>
      </c>
      <c r="BM20">
        <v>22</v>
      </c>
      <c r="BN20">
        <v>25</v>
      </c>
      <c r="BO20">
        <v>11</v>
      </c>
      <c r="BP20">
        <v>21</v>
      </c>
      <c r="BQ20">
        <v>20</v>
      </c>
      <c r="BR20">
        <v>18</v>
      </c>
      <c r="BS20">
        <v>5</v>
      </c>
      <c r="BT20">
        <v>10</v>
      </c>
      <c r="BU20">
        <v>8</v>
      </c>
      <c r="BV20">
        <v>7</v>
      </c>
      <c r="BW20">
        <v>19</v>
      </c>
      <c r="BX20">
        <v>20</v>
      </c>
      <c r="BY20">
        <v>9</v>
      </c>
      <c r="BZ20">
        <v>26</v>
      </c>
      <c r="CA20">
        <v>17</v>
      </c>
      <c r="CB20">
        <v>24</v>
      </c>
      <c r="CC20">
        <v>5</v>
      </c>
      <c r="CD20">
        <v>7</v>
      </c>
      <c r="CE20">
        <v>15</v>
      </c>
      <c r="CF20">
        <v>4</v>
      </c>
      <c r="CG20">
        <f t="shared" ca="1" si="1"/>
        <v>6</v>
      </c>
    </row>
    <row r="21" spans="1:85" x14ac:dyDescent="0.25">
      <c r="A21" t="s">
        <v>19</v>
      </c>
      <c r="C21" s="2">
        <v>15</v>
      </c>
      <c r="D21" s="2">
        <v>16</v>
      </c>
      <c r="E21" s="2">
        <v>2</v>
      </c>
      <c r="F21" s="2">
        <v>19</v>
      </c>
      <c r="G21" s="2">
        <v>20</v>
      </c>
      <c r="H21" s="2">
        <v>2</v>
      </c>
      <c r="I21" s="2">
        <v>25</v>
      </c>
      <c r="J21" s="2">
        <v>7</v>
      </c>
      <c r="K21" s="2">
        <v>10</v>
      </c>
      <c r="L21" s="2">
        <v>9</v>
      </c>
      <c r="M21">
        <v>11</v>
      </c>
      <c r="N21">
        <v>26</v>
      </c>
      <c r="O21">
        <v>6</v>
      </c>
      <c r="P21">
        <v>7</v>
      </c>
      <c r="Q21">
        <v>9</v>
      </c>
      <c r="R21">
        <v>3</v>
      </c>
      <c r="S21">
        <v>21</v>
      </c>
      <c r="T21">
        <v>24</v>
      </c>
      <c r="U21">
        <v>11</v>
      </c>
      <c r="V21">
        <v>1</v>
      </c>
      <c r="W21">
        <v>14</v>
      </c>
      <c r="X21">
        <v>20</v>
      </c>
      <c r="Y21">
        <v>23</v>
      </c>
      <c r="Z21">
        <v>19</v>
      </c>
      <c r="AA21">
        <v>21</v>
      </c>
      <c r="AB21">
        <v>23</v>
      </c>
      <c r="AC21">
        <v>8</v>
      </c>
      <c r="AD21">
        <v>20</v>
      </c>
      <c r="AE21">
        <v>21</v>
      </c>
      <c r="AF21">
        <v>17</v>
      </c>
      <c r="AG21">
        <v>1</v>
      </c>
      <c r="AH21">
        <v>16</v>
      </c>
      <c r="AI21">
        <v>7</v>
      </c>
      <c r="AJ21">
        <v>2</v>
      </c>
      <c r="AK21">
        <v>16</v>
      </c>
      <c r="AL21">
        <v>3</v>
      </c>
      <c r="AM21">
        <v>11</v>
      </c>
      <c r="AN21">
        <v>14</v>
      </c>
      <c r="AO21">
        <v>22</v>
      </c>
      <c r="AP21">
        <v>20</v>
      </c>
      <c r="AQ21">
        <v>10</v>
      </c>
      <c r="AR21">
        <v>3</v>
      </c>
      <c r="AS21">
        <v>21</v>
      </c>
      <c r="AT21">
        <v>4</v>
      </c>
      <c r="AU21">
        <v>11</v>
      </c>
      <c r="AV21">
        <v>12</v>
      </c>
      <c r="AW21">
        <v>2</v>
      </c>
      <c r="AX21">
        <v>3</v>
      </c>
      <c r="AY21">
        <v>12</v>
      </c>
      <c r="AZ21">
        <v>2</v>
      </c>
      <c r="BA21">
        <v>7</v>
      </c>
      <c r="BB21">
        <v>3</v>
      </c>
      <c r="BC21">
        <v>12</v>
      </c>
      <c r="BD21">
        <v>5</v>
      </c>
      <c r="BE21">
        <v>24</v>
      </c>
      <c r="BF21">
        <v>3</v>
      </c>
      <c r="BG21">
        <v>24</v>
      </c>
      <c r="BH21">
        <v>16</v>
      </c>
      <c r="BI21">
        <v>6</v>
      </c>
      <c r="BJ21">
        <v>13</v>
      </c>
      <c r="BK21">
        <v>5</v>
      </c>
      <c r="BL21">
        <v>3</v>
      </c>
      <c r="BM21">
        <v>7</v>
      </c>
      <c r="BN21">
        <v>15</v>
      </c>
      <c r="BO21">
        <v>22</v>
      </c>
      <c r="BP21">
        <v>11</v>
      </c>
      <c r="BQ21">
        <v>3</v>
      </c>
      <c r="BR21">
        <v>24</v>
      </c>
      <c r="BS21">
        <v>26</v>
      </c>
      <c r="BT21">
        <v>20</v>
      </c>
      <c r="BU21">
        <v>22</v>
      </c>
      <c r="BV21">
        <v>5</v>
      </c>
      <c r="BW21">
        <v>17</v>
      </c>
      <c r="BX21">
        <v>14</v>
      </c>
      <c r="BY21">
        <v>6</v>
      </c>
      <c r="BZ21">
        <v>9</v>
      </c>
      <c r="CA21">
        <v>3</v>
      </c>
      <c r="CB21">
        <v>9</v>
      </c>
      <c r="CC21">
        <v>16</v>
      </c>
      <c r="CD21">
        <v>18</v>
      </c>
      <c r="CE21">
        <v>2</v>
      </c>
      <c r="CF21">
        <v>24</v>
      </c>
      <c r="CG21">
        <f t="shared" ca="1" si="1"/>
        <v>5</v>
      </c>
    </row>
    <row r="22" spans="1:85" x14ac:dyDescent="0.25">
      <c r="A22" t="s">
        <v>20</v>
      </c>
      <c r="C22" s="2">
        <v>20</v>
      </c>
      <c r="D22" s="2">
        <v>25</v>
      </c>
      <c r="E22" s="2">
        <v>17</v>
      </c>
      <c r="F22" s="2">
        <v>13</v>
      </c>
      <c r="G22" s="2">
        <v>1</v>
      </c>
      <c r="H22" s="2">
        <v>8</v>
      </c>
      <c r="I22" s="2">
        <v>15</v>
      </c>
      <c r="J22" s="2">
        <v>14</v>
      </c>
      <c r="K22" s="2">
        <v>6</v>
      </c>
      <c r="L22" s="2">
        <v>2</v>
      </c>
      <c r="M22">
        <v>7</v>
      </c>
      <c r="N22">
        <v>16</v>
      </c>
      <c r="O22">
        <v>20</v>
      </c>
      <c r="P22">
        <v>15</v>
      </c>
      <c r="Q22">
        <v>1</v>
      </c>
      <c r="R22">
        <v>19</v>
      </c>
      <c r="S22">
        <v>16</v>
      </c>
      <c r="T22">
        <v>1</v>
      </c>
      <c r="U22">
        <v>20</v>
      </c>
      <c r="V22">
        <v>1</v>
      </c>
      <c r="W22">
        <v>6</v>
      </c>
      <c r="X22" s="1">
        <v>10</v>
      </c>
      <c r="Y22">
        <v>11</v>
      </c>
      <c r="Z22">
        <v>16</v>
      </c>
      <c r="AA22">
        <v>6</v>
      </c>
      <c r="AB22">
        <v>5</v>
      </c>
      <c r="AC22">
        <v>3</v>
      </c>
      <c r="AD22">
        <v>24</v>
      </c>
      <c r="AE22">
        <v>11</v>
      </c>
      <c r="AF22">
        <v>7</v>
      </c>
      <c r="AG22">
        <v>20</v>
      </c>
      <c r="AH22">
        <v>26</v>
      </c>
      <c r="AI22">
        <v>6</v>
      </c>
      <c r="AJ22">
        <v>25</v>
      </c>
      <c r="AK22">
        <v>21</v>
      </c>
      <c r="AL22">
        <v>7</v>
      </c>
      <c r="AM22">
        <v>4</v>
      </c>
      <c r="AN22">
        <v>6</v>
      </c>
      <c r="AO22">
        <v>22</v>
      </c>
      <c r="AP22">
        <v>20</v>
      </c>
      <c r="AQ22">
        <v>7</v>
      </c>
      <c r="AR22">
        <v>5</v>
      </c>
      <c r="AS22">
        <v>11</v>
      </c>
      <c r="AT22">
        <v>6</v>
      </c>
      <c r="AU22">
        <v>15</v>
      </c>
      <c r="AV22">
        <v>18</v>
      </c>
      <c r="AW22">
        <v>9</v>
      </c>
      <c r="AX22">
        <v>15</v>
      </c>
      <c r="AY22">
        <v>7</v>
      </c>
      <c r="AZ22">
        <v>11</v>
      </c>
      <c r="BA22">
        <v>14</v>
      </c>
      <c r="BB22">
        <v>25</v>
      </c>
      <c r="BC22">
        <v>3</v>
      </c>
      <c r="BD22">
        <v>6</v>
      </c>
      <c r="BE22">
        <v>3</v>
      </c>
      <c r="BF22">
        <v>16</v>
      </c>
      <c r="BG22">
        <v>15</v>
      </c>
      <c r="BH22">
        <v>11</v>
      </c>
      <c r="BI22">
        <v>22</v>
      </c>
      <c r="BJ22">
        <v>1</v>
      </c>
      <c r="BK22">
        <v>21</v>
      </c>
      <c r="BL22">
        <v>1</v>
      </c>
      <c r="BM22">
        <v>17</v>
      </c>
      <c r="BN22">
        <v>12</v>
      </c>
      <c r="BO22">
        <v>14</v>
      </c>
      <c r="BP22">
        <v>23</v>
      </c>
      <c r="BQ22">
        <v>16</v>
      </c>
      <c r="BR22">
        <v>1</v>
      </c>
      <c r="BS22">
        <v>6</v>
      </c>
      <c r="BT22">
        <v>11</v>
      </c>
      <c r="BU22">
        <v>10</v>
      </c>
      <c r="BV22">
        <v>11</v>
      </c>
      <c r="BW22">
        <v>14</v>
      </c>
      <c r="BX22">
        <v>5</v>
      </c>
      <c r="BY22">
        <v>14</v>
      </c>
      <c r="BZ22">
        <v>24</v>
      </c>
      <c r="CA22">
        <v>2</v>
      </c>
      <c r="CB22">
        <v>3</v>
      </c>
      <c r="CC22">
        <v>1</v>
      </c>
      <c r="CD22">
        <v>9</v>
      </c>
      <c r="CE22">
        <v>23</v>
      </c>
      <c r="CF22">
        <v>13</v>
      </c>
      <c r="CG22">
        <f t="shared" ca="1" si="1"/>
        <v>18</v>
      </c>
    </row>
    <row r="23" spans="1:85" x14ac:dyDescent="0.25">
      <c r="A23" t="s">
        <v>21</v>
      </c>
      <c r="B23" s="1"/>
      <c r="C23" s="2">
        <v>15</v>
      </c>
      <c r="D23" s="2">
        <v>10</v>
      </c>
      <c r="E23" s="2">
        <v>3</v>
      </c>
      <c r="F23" s="2">
        <v>11</v>
      </c>
      <c r="G23" s="2">
        <v>17</v>
      </c>
      <c r="H23" s="2">
        <v>25</v>
      </c>
      <c r="I23" s="2">
        <v>18</v>
      </c>
      <c r="J23" s="2">
        <v>19</v>
      </c>
      <c r="K23" s="2">
        <v>9</v>
      </c>
      <c r="L23" s="2">
        <v>25</v>
      </c>
      <c r="M23">
        <v>25</v>
      </c>
      <c r="N23">
        <v>15</v>
      </c>
      <c r="O23">
        <v>7</v>
      </c>
      <c r="P23">
        <v>25</v>
      </c>
      <c r="Q23">
        <v>20</v>
      </c>
      <c r="R23">
        <v>3</v>
      </c>
      <c r="S23">
        <v>24</v>
      </c>
      <c r="T23">
        <v>12</v>
      </c>
      <c r="U23">
        <v>7</v>
      </c>
      <c r="V23">
        <v>12</v>
      </c>
      <c r="W23">
        <v>5</v>
      </c>
      <c r="X23">
        <v>2</v>
      </c>
      <c r="Y23">
        <v>4</v>
      </c>
      <c r="Z23">
        <v>6</v>
      </c>
      <c r="AA23">
        <v>13</v>
      </c>
      <c r="AB23">
        <v>7</v>
      </c>
      <c r="AC23">
        <v>13</v>
      </c>
      <c r="AD23">
        <v>18</v>
      </c>
      <c r="AE23">
        <v>10</v>
      </c>
      <c r="AF23">
        <v>3</v>
      </c>
      <c r="AG23">
        <v>6</v>
      </c>
      <c r="AH23">
        <v>15</v>
      </c>
      <c r="AI23">
        <v>2</v>
      </c>
      <c r="AJ23">
        <v>3</v>
      </c>
      <c r="AK23">
        <v>15</v>
      </c>
      <c r="AL23">
        <v>4</v>
      </c>
      <c r="AM23">
        <v>6</v>
      </c>
      <c r="AN23">
        <v>18</v>
      </c>
      <c r="AO23">
        <v>5</v>
      </c>
      <c r="AP23">
        <v>13</v>
      </c>
      <c r="AQ23">
        <v>4</v>
      </c>
      <c r="AR23">
        <v>17</v>
      </c>
      <c r="AS23">
        <v>5</v>
      </c>
      <c r="AT23">
        <v>22</v>
      </c>
      <c r="AU23">
        <v>17</v>
      </c>
      <c r="AV23">
        <v>14</v>
      </c>
      <c r="AW23">
        <v>22</v>
      </c>
      <c r="AX23">
        <v>13</v>
      </c>
      <c r="AY23">
        <v>8</v>
      </c>
      <c r="AZ23">
        <v>20</v>
      </c>
      <c r="BA23">
        <v>21</v>
      </c>
      <c r="BB23">
        <v>6</v>
      </c>
      <c r="BC23">
        <v>20</v>
      </c>
      <c r="BD23">
        <v>26</v>
      </c>
      <c r="BE23">
        <v>16</v>
      </c>
      <c r="BF23">
        <v>21</v>
      </c>
      <c r="BG23">
        <v>2</v>
      </c>
      <c r="BH23">
        <v>18</v>
      </c>
      <c r="BI23">
        <v>20</v>
      </c>
      <c r="BJ23">
        <v>11</v>
      </c>
      <c r="BK23">
        <v>25</v>
      </c>
      <c r="BL23">
        <v>1</v>
      </c>
      <c r="BM23">
        <v>5</v>
      </c>
      <c r="BN23">
        <v>4</v>
      </c>
      <c r="BO23">
        <v>2</v>
      </c>
      <c r="BP23">
        <v>5</v>
      </c>
      <c r="BQ23">
        <v>4</v>
      </c>
      <c r="BR23">
        <v>12</v>
      </c>
      <c r="BS23">
        <v>9</v>
      </c>
      <c r="BT23">
        <v>26</v>
      </c>
      <c r="BU23">
        <v>10</v>
      </c>
      <c r="BV23">
        <v>20</v>
      </c>
      <c r="BW23">
        <v>1</v>
      </c>
      <c r="BX23">
        <v>8</v>
      </c>
      <c r="BY23">
        <v>9</v>
      </c>
      <c r="BZ23">
        <v>22</v>
      </c>
      <c r="CA23">
        <v>5</v>
      </c>
      <c r="CB23">
        <v>7</v>
      </c>
      <c r="CC23">
        <v>11</v>
      </c>
      <c r="CD23">
        <v>1</v>
      </c>
      <c r="CE23">
        <v>18</v>
      </c>
      <c r="CF23">
        <v>10</v>
      </c>
      <c r="CG23">
        <f t="shared" ca="1" si="1"/>
        <v>25</v>
      </c>
    </row>
    <row r="24" spans="1:85" x14ac:dyDescent="0.25">
      <c r="A24" t="s">
        <v>22</v>
      </c>
      <c r="B24" s="1"/>
      <c r="C24" s="2">
        <v>13</v>
      </c>
      <c r="D24" s="2">
        <v>7</v>
      </c>
      <c r="E24" s="2">
        <v>10</v>
      </c>
      <c r="F24" s="2">
        <v>18</v>
      </c>
      <c r="G24" s="2">
        <v>17</v>
      </c>
      <c r="H24" s="2">
        <v>26</v>
      </c>
      <c r="I24" s="2">
        <v>15</v>
      </c>
      <c r="J24" s="2">
        <v>22</v>
      </c>
      <c r="K24" s="2">
        <v>21</v>
      </c>
      <c r="L24" s="2">
        <v>7</v>
      </c>
      <c r="M24">
        <v>6</v>
      </c>
      <c r="N24">
        <v>11</v>
      </c>
      <c r="O24">
        <v>2</v>
      </c>
      <c r="P24">
        <v>1</v>
      </c>
      <c r="Q24">
        <v>7</v>
      </c>
      <c r="R24">
        <v>17</v>
      </c>
      <c r="S24">
        <v>17</v>
      </c>
      <c r="T24">
        <v>25</v>
      </c>
      <c r="U24">
        <v>26</v>
      </c>
      <c r="V24">
        <v>3</v>
      </c>
      <c r="W24">
        <v>3</v>
      </c>
      <c r="X24">
        <v>23</v>
      </c>
      <c r="Y24">
        <v>3</v>
      </c>
      <c r="Z24">
        <v>26</v>
      </c>
      <c r="AA24">
        <v>15</v>
      </c>
      <c r="AB24">
        <v>2</v>
      </c>
      <c r="AC24">
        <v>12</v>
      </c>
      <c r="AD24">
        <v>23</v>
      </c>
      <c r="AE24">
        <v>3</v>
      </c>
      <c r="AF24">
        <v>18</v>
      </c>
      <c r="AG24">
        <v>8</v>
      </c>
      <c r="AH24">
        <v>5</v>
      </c>
      <c r="AI24">
        <v>17</v>
      </c>
      <c r="AJ24">
        <v>3</v>
      </c>
      <c r="AK24">
        <v>14</v>
      </c>
      <c r="AL24">
        <v>18</v>
      </c>
      <c r="AM24">
        <v>19</v>
      </c>
      <c r="AN24">
        <v>24</v>
      </c>
      <c r="AO24">
        <v>16</v>
      </c>
      <c r="AP24">
        <v>9</v>
      </c>
      <c r="AQ24">
        <v>17</v>
      </c>
      <c r="AR24">
        <v>20</v>
      </c>
      <c r="AS24">
        <v>9</v>
      </c>
      <c r="AT24">
        <v>8</v>
      </c>
      <c r="AU24">
        <v>15</v>
      </c>
      <c r="AV24">
        <v>11</v>
      </c>
      <c r="AW24">
        <v>6</v>
      </c>
      <c r="AX24">
        <v>9</v>
      </c>
      <c r="AY24">
        <v>12</v>
      </c>
      <c r="AZ24">
        <v>23</v>
      </c>
      <c r="BA24">
        <v>19</v>
      </c>
      <c r="BB24">
        <v>23</v>
      </c>
      <c r="BC24">
        <v>2</v>
      </c>
      <c r="BD24">
        <v>22</v>
      </c>
      <c r="BE24">
        <v>8</v>
      </c>
      <c r="BF24">
        <v>4</v>
      </c>
      <c r="BG24">
        <v>9</v>
      </c>
      <c r="BH24">
        <v>14</v>
      </c>
      <c r="BI24">
        <v>21</v>
      </c>
      <c r="BJ24">
        <v>2</v>
      </c>
      <c r="BK24">
        <v>15</v>
      </c>
      <c r="BL24">
        <v>2</v>
      </c>
      <c r="BM24">
        <v>24</v>
      </c>
      <c r="BN24">
        <v>22</v>
      </c>
      <c r="BO24">
        <v>17</v>
      </c>
      <c r="BP24">
        <v>12</v>
      </c>
      <c r="BQ24">
        <v>13</v>
      </c>
      <c r="BR24">
        <v>16</v>
      </c>
      <c r="BS24">
        <v>21</v>
      </c>
      <c r="BT24">
        <v>24</v>
      </c>
      <c r="BU24">
        <v>23</v>
      </c>
      <c r="BV24">
        <v>5</v>
      </c>
      <c r="BW24">
        <v>2</v>
      </c>
      <c r="BX24">
        <v>7</v>
      </c>
      <c r="BY24">
        <v>26</v>
      </c>
      <c r="BZ24">
        <v>26</v>
      </c>
      <c r="CA24">
        <v>1</v>
      </c>
      <c r="CB24">
        <v>11</v>
      </c>
      <c r="CC24">
        <v>14</v>
      </c>
      <c r="CD24">
        <v>22</v>
      </c>
      <c r="CE24">
        <v>12</v>
      </c>
      <c r="CF24">
        <v>5</v>
      </c>
      <c r="CG24">
        <f t="shared" ca="1" si="1"/>
        <v>23</v>
      </c>
    </row>
    <row r="25" spans="1:85" x14ac:dyDescent="0.25">
      <c r="A25" t="s">
        <v>23</v>
      </c>
      <c r="C25" s="2">
        <v>3</v>
      </c>
      <c r="D25" s="2">
        <v>3</v>
      </c>
      <c r="E25" s="2">
        <v>13</v>
      </c>
      <c r="F25" s="2">
        <v>12</v>
      </c>
      <c r="G25" s="2">
        <v>21</v>
      </c>
      <c r="H25" s="2">
        <v>7</v>
      </c>
      <c r="I25" s="2">
        <v>23</v>
      </c>
      <c r="J25" s="2">
        <v>10</v>
      </c>
      <c r="K25" s="2">
        <v>9</v>
      </c>
      <c r="L25" s="2">
        <v>20</v>
      </c>
      <c r="M25">
        <v>17</v>
      </c>
      <c r="N25">
        <v>16</v>
      </c>
      <c r="O25">
        <v>17</v>
      </c>
      <c r="P25">
        <v>25</v>
      </c>
      <c r="Q25">
        <v>23</v>
      </c>
      <c r="R25">
        <v>2</v>
      </c>
      <c r="S25">
        <v>1</v>
      </c>
      <c r="T25">
        <v>24</v>
      </c>
      <c r="U25">
        <v>14</v>
      </c>
      <c r="V25">
        <v>24</v>
      </c>
      <c r="W25">
        <v>5</v>
      </c>
      <c r="X25">
        <v>23</v>
      </c>
      <c r="Y25">
        <v>4</v>
      </c>
      <c r="Z25">
        <v>26</v>
      </c>
      <c r="AA25">
        <v>16</v>
      </c>
      <c r="AB25">
        <v>18</v>
      </c>
      <c r="AC25">
        <v>23</v>
      </c>
      <c r="AD25">
        <v>11</v>
      </c>
      <c r="AE25">
        <v>9</v>
      </c>
      <c r="AF25">
        <v>26</v>
      </c>
      <c r="AG25">
        <v>17</v>
      </c>
      <c r="AH25">
        <v>23</v>
      </c>
      <c r="AI25">
        <v>17</v>
      </c>
      <c r="AJ25">
        <v>19</v>
      </c>
      <c r="AK25">
        <v>7</v>
      </c>
      <c r="AL25">
        <v>12</v>
      </c>
      <c r="AM25">
        <v>3</v>
      </c>
      <c r="AN25">
        <v>17</v>
      </c>
      <c r="AO25">
        <v>16</v>
      </c>
      <c r="AP25">
        <v>14</v>
      </c>
      <c r="AQ25">
        <v>17</v>
      </c>
      <c r="AR25">
        <v>11</v>
      </c>
      <c r="AS25">
        <v>8</v>
      </c>
      <c r="AT25">
        <v>14</v>
      </c>
      <c r="AU25">
        <v>19</v>
      </c>
      <c r="AV25">
        <v>18</v>
      </c>
      <c r="AW25">
        <v>1</v>
      </c>
      <c r="AX25">
        <v>15</v>
      </c>
      <c r="AY25">
        <v>19</v>
      </c>
      <c r="AZ25">
        <v>15</v>
      </c>
      <c r="BA25">
        <v>21</v>
      </c>
      <c r="BB25">
        <v>10</v>
      </c>
      <c r="BC25">
        <v>4</v>
      </c>
      <c r="BD25">
        <v>26</v>
      </c>
      <c r="BE25">
        <v>24</v>
      </c>
      <c r="BF25">
        <v>1</v>
      </c>
      <c r="BG25">
        <v>17</v>
      </c>
      <c r="BH25">
        <v>17</v>
      </c>
      <c r="BI25">
        <v>21</v>
      </c>
      <c r="BJ25">
        <v>25</v>
      </c>
      <c r="BK25">
        <v>7</v>
      </c>
      <c r="BL25">
        <v>18</v>
      </c>
      <c r="BM25">
        <v>13</v>
      </c>
      <c r="BN25">
        <v>15</v>
      </c>
      <c r="BO25">
        <v>21</v>
      </c>
      <c r="BP25">
        <v>15</v>
      </c>
      <c r="BQ25">
        <v>17</v>
      </c>
      <c r="BR25">
        <v>1</v>
      </c>
      <c r="BS25">
        <v>3</v>
      </c>
      <c r="BT25">
        <v>5</v>
      </c>
      <c r="BU25">
        <v>11</v>
      </c>
      <c r="BV25">
        <v>24</v>
      </c>
      <c r="BW25">
        <v>26</v>
      </c>
      <c r="BX25">
        <v>10</v>
      </c>
      <c r="BY25">
        <v>2</v>
      </c>
      <c r="BZ25">
        <v>13</v>
      </c>
      <c r="CA25">
        <v>11</v>
      </c>
      <c r="CB25">
        <v>22</v>
      </c>
      <c r="CC25">
        <v>10</v>
      </c>
      <c r="CD25">
        <v>4</v>
      </c>
      <c r="CE25">
        <v>2</v>
      </c>
      <c r="CF25">
        <v>11</v>
      </c>
      <c r="CG25">
        <f t="shared" ca="1" si="1"/>
        <v>26</v>
      </c>
    </row>
    <row r="26" spans="1:85" x14ac:dyDescent="0.25">
      <c r="A26" t="s">
        <v>24</v>
      </c>
      <c r="B26" s="1"/>
      <c r="C26" s="2">
        <v>2</v>
      </c>
      <c r="D26" s="2">
        <v>11</v>
      </c>
      <c r="E26" s="2">
        <v>23</v>
      </c>
      <c r="F26" s="2">
        <v>1</v>
      </c>
      <c r="G26" s="2">
        <v>10</v>
      </c>
      <c r="H26" s="2">
        <v>15</v>
      </c>
      <c r="I26" s="2">
        <v>19</v>
      </c>
      <c r="J26" s="2">
        <v>26</v>
      </c>
      <c r="K26" s="2">
        <v>10</v>
      </c>
      <c r="L26" s="2">
        <v>2</v>
      </c>
      <c r="M26">
        <v>23</v>
      </c>
      <c r="N26">
        <v>16</v>
      </c>
      <c r="O26">
        <v>20</v>
      </c>
      <c r="P26">
        <v>4</v>
      </c>
      <c r="Q26">
        <v>2</v>
      </c>
      <c r="R26">
        <v>25</v>
      </c>
      <c r="S26" s="1">
        <v>10</v>
      </c>
      <c r="T26">
        <v>2</v>
      </c>
      <c r="U26">
        <v>21</v>
      </c>
      <c r="V26">
        <v>6</v>
      </c>
      <c r="W26">
        <v>7</v>
      </c>
      <c r="X26">
        <v>12</v>
      </c>
      <c r="Y26">
        <v>3</v>
      </c>
      <c r="Z26">
        <v>7</v>
      </c>
      <c r="AA26">
        <v>26</v>
      </c>
      <c r="AB26" s="1">
        <v>10</v>
      </c>
      <c r="AC26">
        <v>7</v>
      </c>
      <c r="AD26">
        <v>10</v>
      </c>
      <c r="AE26">
        <v>5</v>
      </c>
      <c r="AF26">
        <v>4</v>
      </c>
      <c r="AG26">
        <v>23</v>
      </c>
      <c r="AH26">
        <v>13</v>
      </c>
      <c r="AI26">
        <v>14</v>
      </c>
      <c r="AJ26">
        <v>12</v>
      </c>
      <c r="AK26">
        <v>1</v>
      </c>
      <c r="AL26">
        <v>13</v>
      </c>
      <c r="AM26">
        <v>24</v>
      </c>
      <c r="AN26">
        <v>22</v>
      </c>
      <c r="AO26">
        <v>12</v>
      </c>
      <c r="AP26">
        <v>6</v>
      </c>
      <c r="AQ26">
        <v>23</v>
      </c>
      <c r="AR26">
        <v>2</v>
      </c>
      <c r="AS26">
        <v>18</v>
      </c>
      <c r="AT26">
        <v>17</v>
      </c>
      <c r="AU26">
        <v>23</v>
      </c>
      <c r="AV26">
        <v>9</v>
      </c>
      <c r="AW26">
        <v>7</v>
      </c>
      <c r="AX26">
        <v>25</v>
      </c>
      <c r="AY26">
        <v>22</v>
      </c>
      <c r="AZ26">
        <v>10</v>
      </c>
      <c r="BA26">
        <v>17</v>
      </c>
      <c r="BB26">
        <v>18</v>
      </c>
      <c r="BC26">
        <v>16</v>
      </c>
      <c r="BD26">
        <v>2</v>
      </c>
      <c r="BE26">
        <v>15</v>
      </c>
      <c r="BF26">
        <v>23</v>
      </c>
      <c r="BG26">
        <v>14</v>
      </c>
      <c r="BH26">
        <v>25</v>
      </c>
      <c r="BI26">
        <v>11</v>
      </c>
      <c r="BJ26">
        <v>21</v>
      </c>
      <c r="BK26">
        <v>19</v>
      </c>
      <c r="BL26">
        <v>12</v>
      </c>
      <c r="BM26">
        <v>6</v>
      </c>
      <c r="BN26">
        <v>19</v>
      </c>
      <c r="BO26">
        <v>2</v>
      </c>
      <c r="BP26">
        <v>7</v>
      </c>
      <c r="BQ26">
        <v>21</v>
      </c>
      <c r="BR26">
        <v>20</v>
      </c>
      <c r="BS26">
        <v>11</v>
      </c>
      <c r="BT26">
        <v>22</v>
      </c>
      <c r="BU26">
        <v>2</v>
      </c>
      <c r="BV26">
        <v>23</v>
      </c>
      <c r="BW26">
        <v>22</v>
      </c>
      <c r="BX26">
        <v>4</v>
      </c>
      <c r="BY26">
        <v>14</v>
      </c>
      <c r="BZ26">
        <v>20</v>
      </c>
      <c r="CA26">
        <v>12</v>
      </c>
      <c r="CB26">
        <v>4</v>
      </c>
      <c r="CC26">
        <v>25</v>
      </c>
      <c r="CD26">
        <v>14</v>
      </c>
      <c r="CE26">
        <v>3</v>
      </c>
      <c r="CF26">
        <v>19</v>
      </c>
      <c r="CG26">
        <f t="shared" ca="1" si="1"/>
        <v>4</v>
      </c>
    </row>
    <row r="27" spans="1:85" x14ac:dyDescent="0.25">
      <c r="A27" t="s">
        <v>25</v>
      </c>
      <c r="B27" s="1"/>
      <c r="C27" s="2">
        <v>1</v>
      </c>
      <c r="D27" s="2">
        <v>24</v>
      </c>
      <c r="E27" s="2">
        <v>15</v>
      </c>
      <c r="F27" s="2">
        <v>10</v>
      </c>
      <c r="G27" s="2">
        <v>5</v>
      </c>
      <c r="H27" s="2">
        <v>14</v>
      </c>
      <c r="I27" s="2">
        <v>21</v>
      </c>
      <c r="J27" s="2">
        <v>7</v>
      </c>
      <c r="K27" s="2">
        <v>14</v>
      </c>
      <c r="L27" s="2">
        <v>16</v>
      </c>
      <c r="M27">
        <v>12</v>
      </c>
      <c r="N27">
        <v>18</v>
      </c>
      <c r="O27">
        <v>1</v>
      </c>
      <c r="P27">
        <v>2</v>
      </c>
      <c r="Q27">
        <v>14</v>
      </c>
      <c r="R27">
        <v>26</v>
      </c>
      <c r="S27">
        <v>26</v>
      </c>
      <c r="T27">
        <v>14</v>
      </c>
      <c r="U27">
        <v>7</v>
      </c>
      <c r="V27">
        <v>11</v>
      </c>
      <c r="W27">
        <v>5</v>
      </c>
      <c r="X27">
        <v>23</v>
      </c>
      <c r="Y27">
        <v>1</v>
      </c>
      <c r="Z27">
        <v>2</v>
      </c>
      <c r="AA27">
        <v>4</v>
      </c>
      <c r="AB27">
        <v>1</v>
      </c>
      <c r="AC27">
        <v>4</v>
      </c>
      <c r="AD27">
        <v>5</v>
      </c>
      <c r="AE27">
        <v>18</v>
      </c>
      <c r="AF27">
        <v>19</v>
      </c>
      <c r="AG27">
        <v>4</v>
      </c>
      <c r="AH27">
        <v>3</v>
      </c>
      <c r="AI27">
        <v>10</v>
      </c>
      <c r="AJ27">
        <v>17</v>
      </c>
      <c r="AK27">
        <v>22</v>
      </c>
      <c r="AL27">
        <v>21</v>
      </c>
      <c r="AM27">
        <v>13</v>
      </c>
      <c r="AN27">
        <v>7</v>
      </c>
      <c r="AO27">
        <v>4</v>
      </c>
      <c r="AP27">
        <v>22</v>
      </c>
      <c r="AQ27">
        <v>9</v>
      </c>
      <c r="AR27">
        <v>16</v>
      </c>
      <c r="AS27">
        <v>11</v>
      </c>
      <c r="AT27">
        <v>21</v>
      </c>
      <c r="AU27">
        <v>4</v>
      </c>
      <c r="AV27">
        <v>14</v>
      </c>
      <c r="AW27">
        <v>13</v>
      </c>
      <c r="AX27">
        <v>15</v>
      </c>
      <c r="AY27">
        <v>12</v>
      </c>
      <c r="AZ27">
        <v>8</v>
      </c>
      <c r="BA27">
        <v>6</v>
      </c>
      <c r="BB27">
        <v>26</v>
      </c>
      <c r="BC27">
        <v>16</v>
      </c>
      <c r="BD27">
        <v>20</v>
      </c>
      <c r="BE27">
        <v>26</v>
      </c>
      <c r="BF27">
        <v>7</v>
      </c>
      <c r="BG27">
        <v>18</v>
      </c>
      <c r="BH27">
        <v>9</v>
      </c>
      <c r="BI27">
        <v>18</v>
      </c>
      <c r="BJ27">
        <v>15</v>
      </c>
      <c r="BK27">
        <v>19</v>
      </c>
      <c r="BL27">
        <v>8</v>
      </c>
      <c r="BM27">
        <v>6</v>
      </c>
      <c r="BN27">
        <v>26</v>
      </c>
      <c r="BO27">
        <v>7</v>
      </c>
      <c r="BP27">
        <v>1</v>
      </c>
      <c r="BQ27">
        <v>19</v>
      </c>
      <c r="BR27">
        <v>7</v>
      </c>
      <c r="BS27">
        <v>24</v>
      </c>
      <c r="BT27">
        <v>26</v>
      </c>
      <c r="BU27">
        <v>17</v>
      </c>
      <c r="BV27">
        <v>20</v>
      </c>
      <c r="BW27">
        <v>11</v>
      </c>
      <c r="BX27">
        <v>18</v>
      </c>
      <c r="BY27">
        <v>16</v>
      </c>
      <c r="BZ27">
        <v>12</v>
      </c>
      <c r="CA27">
        <v>17</v>
      </c>
      <c r="CB27">
        <v>6</v>
      </c>
      <c r="CC27">
        <v>16</v>
      </c>
      <c r="CD27">
        <v>26</v>
      </c>
      <c r="CE27">
        <v>24</v>
      </c>
      <c r="CF27">
        <v>1</v>
      </c>
      <c r="CG27">
        <f t="shared" ca="1" si="1"/>
        <v>19</v>
      </c>
    </row>
  </sheetData>
  <sortState xmlns:xlrd2="http://schemas.microsoft.com/office/spreadsheetml/2017/richdata2" ref="A2:AB27">
    <sortCondition ref="A2:A2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Calcul</vt:lpstr>
      <vt:lpstr>Scenario 1</vt:lpstr>
      <vt:lpstr>Scenario 2</vt:lpstr>
      <vt:lpstr>Scenerio 3</vt:lpstr>
      <vt:lpstr>Scenerio 4</vt:lpstr>
      <vt:lpstr>Scenerio 5</vt:lpstr>
      <vt:lpstr>Cities</vt:lpstr>
      <vt:lpstr>Formula Workbook</vt:lpstr>
    </vt:vector>
  </TitlesOfParts>
  <Company>Pittsburgh Public Schools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ppsadmin</dc:creator>
  <cp:lastModifiedBy>Boyce, Jacob</cp:lastModifiedBy>
  <cp:lastPrinted>2024-11-25T13:56:51Z</cp:lastPrinted>
  <dcterms:created xsi:type="dcterms:W3CDTF">2015-10-13T12:46:04Z</dcterms:created>
  <dcterms:modified xsi:type="dcterms:W3CDTF">2024-12-13T13:14:48Z</dcterms:modified>
</cp:coreProperties>
</file>